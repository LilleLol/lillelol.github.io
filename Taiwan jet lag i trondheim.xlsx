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 1" sheetId="1" r:id="rId5"/>
    <sheet state="visible" name="Challenge overview" sheetId="2" r:id="rId6"/>
    <sheet state="visible" name="Challenge generator" sheetId="3" r:id="rId7"/>
    <sheet state="visible" name="Uviktig" sheetId="4" r:id="rId8"/>
  </sheets>
  <definedNames>
    <definedName name="BL">LAMBDA(celle, ROUND((celle-OFFSET(celle,-2,0))/50+100/201))</definedName>
    <definedName name="RO">LAMBDA(celle, ROUND((celle-OFFSET(celle,2,0))/50+100/201))</definedName>
  </definedNames>
  <calcPr/>
</workbook>
</file>

<file path=xl/sharedStrings.xml><?xml version="1.0" encoding="utf-8"?>
<sst xmlns="http://schemas.openxmlformats.org/spreadsheetml/2006/main" count="732" uniqueCount="336">
  <si>
    <t>Vunnet av</t>
  </si>
  <si>
    <t>Nummer</t>
  </si>
  <si>
    <t>Wordle</t>
  </si>
  <si>
    <r>
      <t xml:space="preserve">Vinn wordle hard mode (Alle guesses må være lovlige, ikke lov å søke opp) </t>
    </r>
    <r>
      <rPr>
        <rFont val="Arial,sans-serif"/>
        <color rgb="FF1155CC"/>
        <sz val="11.0"/>
        <u/>
      </rPr>
      <t>https://wordleunlimited.org/</t>
    </r>
    <r>
      <rPr>
        <rFont val="Arial,sans-serif"/>
        <sz val="11.0"/>
      </rPr>
      <t xml:space="preserve"> 
Et forsøk</t>
    </r>
  </si>
  <si>
    <t>BLÅ</t>
  </si>
  <si>
    <t>Tapt av</t>
  </si>
  <si>
    <t>Type</t>
  </si>
  <si>
    <t>Prize (coins)</t>
  </si>
  <si>
    <t>Location</t>
  </si>
  <si>
    <t>RØD</t>
  </si>
  <si>
    <t>Challenge number</t>
  </si>
  <si>
    <t>Challenge name</t>
  </si>
  <si>
    <t>Stations</t>
  </si>
  <si>
    <t>Name</t>
  </si>
  <si>
    <t>Van</t>
  </si>
  <si>
    <t>Coins</t>
  </si>
  <si>
    <t>Wordle på norsk</t>
  </si>
  <si>
    <r>
      <t xml:space="preserve">Vinn wordle på norsk. Det er 3 ulike modus: 4,5 eller 6 bokstaver. Velg hvilken dere vil ta. Igjen hard mode, ikke lov å søke opp og alle guesses må være lovlige.
</t>
    </r>
    <r>
      <rPr>
        <rFont val="Arial,sans-serif"/>
        <color rgb="FF1155CC"/>
        <sz val="11.0"/>
        <u/>
      </rPr>
      <t>https://www.wordle.lol/unlimited</t>
    </r>
    <r>
      <rPr>
        <rFont val="Arial,sans-serif"/>
        <sz val="11.0"/>
      </rPr>
      <t xml:space="preserve"> 
Et forsøk</t>
    </r>
  </si>
  <si>
    <t>Fibble</t>
  </si>
  <si>
    <t>Globle</t>
  </si>
  <si>
    <t>Stjel</t>
  </si>
  <si>
    <t>https://maps.app.goo.gl/QhPsWfEwFt69DkBe7</t>
  </si>
  <si>
    <t>Chartle</t>
  </si>
  <si>
    <t>Mult</t>
  </si>
  <si>
    <t>Linxicon</t>
  </si>
  <si>
    <t>Craft connections</t>
  </si>
  <si>
    <r>
      <t xml:space="preserve">Vinn Fibble! Wordle spillet hvor hver tilbakemelding gir feilinformasjon på nøyaktig en av bokstavene - </t>
    </r>
    <r>
      <rPr>
        <rFont val="Arial,sans-serif"/>
        <color rgb="FF1155CC"/>
        <sz val="11.0"/>
        <u/>
      </rPr>
      <t>https://fibble.xyz/</t>
    </r>
    <r>
      <rPr>
        <rFont val="Arial,sans-serif"/>
        <sz val="11.0"/>
      </rPr>
      <t xml:space="preserve"> 
Et forsøk</t>
    </r>
  </si>
  <si>
    <t>Secret suitcase</t>
  </si>
  <si>
    <t>CYS</t>
  </si>
  <si>
    <t>5*X</t>
  </si>
  <si>
    <t>Taboo</t>
  </si>
  <si>
    <t>Reverse taboo</t>
  </si>
  <si>
    <t>10*X</t>
  </si>
  <si>
    <t>Ten triangle</t>
  </si>
  <si>
    <t>Charades (Miming)</t>
  </si>
  <si>
    <t>8*X</t>
  </si>
  <si>
    <t>Charades (En enkelt lyd)</t>
  </si>
  <si>
    <t>13*X</t>
  </si>
  <si>
    <t>Wavelength 1.0</t>
  </si>
  <si>
    <t>1.25x</t>
  </si>
  <si>
    <t>Wavelength 2.0</t>
  </si>
  <si>
    <t>https://maps.app.goo.gl/kxg63b477qjBd5XK6</t>
  </si>
  <si>
    <t>Pictionary</t>
  </si>
  <si>
    <t>Gjett fargen</t>
  </si>
  <si>
    <t>He’s a ten but …</t>
  </si>
  <si>
    <t>Be in the hot seat</t>
  </si>
  <si>
    <t>Mediter akkurat nok</t>
  </si>
  <si>
    <r>
      <t xml:space="preserve">Vinn Globle på 8 eller færre guesses </t>
    </r>
    <r>
      <rPr>
        <rFont val="Arial,sans-serif"/>
        <color rgb="FF1155CC"/>
        <sz val="11.0"/>
        <u/>
      </rPr>
      <t>https://globleunlimited.com/</t>
    </r>
    <r>
      <rPr>
        <rFont val="Arial,sans-serif"/>
        <sz val="11.0"/>
      </rPr>
      <t xml:space="preserve"> 
Et forsøk</t>
    </r>
  </si>
  <si>
    <t>Stein saks papir - intellektets spill</t>
  </si>
  <si>
    <t>Stein saks papir mot en fremmed.</t>
  </si>
  <si>
    <t>Hus synergi</t>
  </si>
  <si>
    <t>Rull en terning</t>
  </si>
  <si>
    <t>Rull 6 partall på rad</t>
  </si>
  <si>
    <t>Bygg et korttårn</t>
  </si>
  <si>
    <r>
      <rPr>
        <rFont val="Arial,sans-serif"/>
        <color rgb="FFFFFFFF"/>
        <sz val="11.0"/>
        <u/>
      </rPr>
      <t>https://maps.app.goo.gl/xbrfy1pE5QBydykdA</t>
    </r>
  </si>
  <si>
    <t>Bygg et kortskyskraper</t>
  </si>
  <si>
    <t>Mind melt</t>
  </si>
  <si>
    <t>Hvem er dette?</t>
  </si>
  <si>
    <r>
      <t xml:space="preserve">Vinn Chartle. Hvis du allerede har spilt idag, spill en random annen dag du ikke har spilt før. </t>
    </r>
    <r>
      <rPr>
        <rFont val="Arial,sans-serif"/>
        <color rgb="FF1155CC"/>
        <sz val="11.0"/>
        <u/>
      </rPr>
      <t>https://chartle.cc/</t>
    </r>
    <r>
      <rPr>
        <rFont val="Arial,sans-serif"/>
        <sz val="11.0"/>
      </rPr>
      <t xml:space="preserve"> 
Et forsøk</t>
    </r>
  </si>
  <si>
    <t>Hangman</t>
  </si>
  <si>
    <t>Lag dyr med steiner</t>
  </si>
  <si>
    <t>Back in mah day!</t>
  </si>
  <si>
    <t>Send et bilde til motstanderen</t>
  </si>
  <si>
    <t>2x</t>
  </si>
  <si>
    <t>Finn 25 bokstaver fra alfabetet</t>
  </si>
  <si>
    <t>Spinner</t>
  </si>
  <si>
    <t>Stackin' rocks</t>
  </si>
  <si>
    <t>Husk setningen (ikke denne asså)</t>
  </si>
  <si>
    <r>
      <t xml:space="preserve">Vinn Linxicon. Altså lag en vei fra et ord til et annet ord, men ord som er “nærme” hverandre </t>
    </r>
    <r>
      <rPr>
        <rFont val="Arial,sans-serif"/>
        <color rgb="FF1155CC"/>
        <sz val="11.0"/>
        <u/>
      </rPr>
      <t>https://linxicon.com/game/practice</t>
    </r>
    <r>
      <rPr>
        <rFont val="Arial,sans-serif"/>
        <sz val="11.0"/>
      </rPr>
      <t xml:space="preserve"> 
Et forsøk</t>
    </r>
  </si>
  <si>
    <r>
      <rPr>
        <rFont val="Arial,sans-serif"/>
        <color rgb="FFFFFFFF"/>
        <sz val="11.0"/>
        <u/>
      </rPr>
      <t>https://maps.app.goo.gl/LYvssTZAPUXHx8Ea8</t>
    </r>
  </si>
  <si>
    <t>Del ut hus</t>
  </si>
  <si>
    <t>Kjeks til munn</t>
  </si>
  <si>
    <t>Kos</t>
  </si>
  <si>
    <t>Name 100 women</t>
  </si>
  <si>
    <t>Film et dyr</t>
  </si>
  <si>
    <t>Klatre i et tre</t>
  </si>
  <si>
    <t>Skriv et ord på strava</t>
  </si>
  <si>
    <t>Gråt</t>
  </si>
  <si>
    <r>
      <t xml:space="preserve">Vinn Craftconnections! Spill dagens, om allerede gjort, spill en tillfeldig dag
</t>
    </r>
    <r>
      <rPr>
        <rFont val="Arial,sans-serif"/>
        <color rgb="FF1155CC"/>
        <sz val="11.0"/>
        <u/>
      </rPr>
      <t>https://craftconnections.net/archive</t>
    </r>
    <r>
      <rPr>
        <rFont val="Arial,sans-serif"/>
        <sz val="11.0"/>
      </rPr>
      <t>.
Et forsøk.</t>
    </r>
  </si>
  <si>
    <t>Mål 15 centimeter</t>
  </si>
  <si>
    <t>Lekebuldring</t>
  </si>
  <si>
    <r>
      <rPr>
        <rFont val="Arial,sans-serif"/>
        <color rgb="FFFFFFFF"/>
        <sz val="11.0"/>
        <u/>
      </rPr>
      <t>https://maps.app.goo.gl/wxJdzDibZhNkTi1W8</t>
    </r>
  </si>
  <si>
    <t>Tyholttårnet 101</t>
  </si>
  <si>
    <r>
      <rPr>
        <rFont val="Arial,sans-serif"/>
        <color rgb="FF1155CC"/>
        <sz val="11.0"/>
        <u/>
      </rPr>
      <t>https://maps.app.goo.gl/kVB3goNSAgXQ31739</t>
    </r>
  </si>
  <si>
    <t>Hvor lang er gamle bybro?</t>
  </si>
  <si>
    <t>Spill “secret suitcase” på “Appnavn”. 2 minutter. Før spillet begynner blir dere enige om hvor mange prompts dere skal greie.
Spillets gang er at man får oppgitt en kategori, og tre “eksempelord”. Formidleren vil at gjetteren skal gjette kategorien ved å ramse opp ord som er innenfor den kategorien, for eksempel de tre eksempel-ordene. Det er ikke lov å bruke ord fra kategori-navnet. Feks om kategorien er “gule ting” ikke si “gul flamingo”. Gjetteren gjetter fortløpende og når de gjetter kategorien går man videre. Det er lov å skippe prompts.</t>
  </si>
  <si>
    <t>https://maps.app.goo.gl/3Xu8MPzjgBj9uhcw9</t>
  </si>
  <si>
    <t>Spill “taboo” på appen “Appnavn”. 2 minutter. Før spillet begynner blir dere enige om hvor mange prompts dere skal greie. Når spillet begynner får dere opp et ord på toppen, og fem under som ligner. 
Formidleren skal forklare ordet på toppen, uten å si noen av de 5 ordene på bunnen, eller ord som inneholder de ordene. Gjetteren prøver å gjette ordet på toppen. Det er lov å skippe prompts.</t>
  </si>
  <si>
    <t>Spill “taboo” på appen “Appnavn”, men denne gangen annerledes. 2 minutter. Før spillet begynner blir dere enige om hvor mange prompts dere skal greie. Når spillet begynner får dere opp et ord på toppen, og fem under som ligner. 
Denne gangen skal personen som gjette ordet på toppen, og den andre personen får kun si ordene på bunnen. Men de får si de i ulike tonefall og i hvilken rekkefølge de vil. Det er lov å skippe prompts.</t>
  </si>
  <si>
    <t>Spill “ten triangle” på appen “Appnavn”. 2 minutter. Før spillet begynner blir dere enige om hvor mange prompts dere skal greie. Når spillet begynner får dere en prompt og en tallverdi. Formidleren skal formidle tallverdien gjennom prompten. Gjetteren for et forsøk på å gjette riktig. Etter gjetterens gjett går man videre til neste prompt. Det er lov å skippe prompts. Det er ikke lov å gjette før den anndre personen formidleren har formidlet noe. Ikke lov å spamme tall liksom.</t>
  </si>
  <si>
    <r>
      <t xml:space="preserve">Charades, men kun lov å mime. 2 minutter. En gjetter, en formidler. Dere velger hvor mange charades dere skal greie på forhånd. Det er lov å skippe prompts.
</t>
    </r>
    <r>
      <rPr>
        <rFont val="Arial,sans-serif"/>
        <color rgb="FF1155CC"/>
        <sz val="11.0"/>
        <u/>
      </rPr>
      <t>https://play-charades.com/</t>
    </r>
  </si>
  <si>
    <r>
      <rPr>
        <rFont val="Arial,sans-serif"/>
        <color rgb="FF1155CC"/>
        <sz val="11.0"/>
        <u/>
      </rPr>
      <t>https://maps.app.goo.gl/LYvssTZAPUXHx8Ea8</t>
    </r>
  </si>
  <si>
    <t>https://maps.app.goo.gl/JUj8SrxroLSaiKjy8</t>
  </si>
  <si>
    <t>Balanse</t>
  </si>
  <si>
    <r>
      <rPr>
        <rFont val="Arial,sans-serif"/>
        <color rgb="FF1155CC"/>
        <sz val="11.0"/>
        <u/>
      </rPr>
      <t>https://maps.app.goo.gl/fR1TWnUbruUZWhRh6</t>
    </r>
  </si>
  <si>
    <t>https://maps.app.goo.gl/ky5EhGg66sbW51fh9</t>
  </si>
  <si>
    <r>
      <rPr>
        <rFont val="Arial,sans-serif"/>
        <color rgb="FF1155CC"/>
        <sz val="11.0"/>
        <u/>
      </rPr>
      <t>https://maps.app.goo.gl/xbrfy1pE5QBydykdA</t>
    </r>
  </si>
  <si>
    <t>https://maps.app.goo.gl/ZQFp5TfmAGt48CHLA</t>
  </si>
  <si>
    <t>1.5x</t>
  </si>
  <si>
    <t>Rema 1000 priser</t>
  </si>
  <si>
    <r>
      <rPr>
        <rFont val="Arial,sans-serif"/>
        <color rgb="FFFFFFFF"/>
        <sz val="11.0"/>
        <u/>
      </rPr>
      <t>https://maps.app.goo.gl/Mobp3XMByYG36MHj9</t>
    </r>
  </si>
  <si>
    <r>
      <rPr>
        <rFont val="Arial,sans-serif"/>
        <color rgb="FF1155CC"/>
        <sz val="11.0"/>
        <u/>
      </rPr>
      <t>https://maps.app.goo.gl/agXUshW7SPJky4qS6</t>
    </r>
  </si>
  <si>
    <t>fefwef4regre</t>
  </si>
  <si>
    <t>Charades (Forklaring uten å si ordet)</t>
  </si>
  <si>
    <r>
      <t xml:space="preserve">Charades. 2 minutter. En gjetter, en formidler. Dere velger hvor mange charades dere skal greie på forhånd. Det er lov å skippe prompts.
</t>
    </r>
    <r>
      <rPr>
        <rFont val="Arial,sans-serif"/>
        <color rgb="FF1155CC"/>
        <sz val="11.0"/>
        <u/>
      </rPr>
      <t>https://play-charades.com/</t>
    </r>
  </si>
  <si>
    <t>4*X</t>
  </si>
  <si>
    <t>https://maps.app.goo.gl/S7Nr7XAowvCoAdpJA</t>
  </si>
  <si>
    <t>For en upassende butikk!</t>
  </si>
  <si>
    <r>
      <rPr>
        <rFont val="Arial,sans-serif"/>
        <color rgb="FF1155CC"/>
        <sz val="11.0"/>
        <u/>
      </rPr>
      <t>https://maps.app.goo.gl/XcTwydtFzFg3ptNE9</t>
    </r>
  </si>
  <si>
    <t>Finn folka</t>
  </si>
  <si>
    <t>https://maps.app.goo.gl/HAVFiZVP5AEu23n5A</t>
  </si>
  <si>
    <t>fg45t3rdwef5g5g54</t>
  </si>
  <si>
    <t>Finn festfolk på samf</t>
  </si>
  <si>
    <r>
      <t xml:space="preserve">Charades, men kun lov med 1 lyd. 2 minutter. En gjetter, en formidler. Dere velger hvor mange charades dere skal greie på forhånd. Det er lov å skippe prompts.
</t>
    </r>
    <r>
      <rPr>
        <rFont val="Arial,sans-serif"/>
        <color rgb="FF1155CC"/>
        <sz val="11.0"/>
        <u/>
      </rPr>
      <t>https://play-charades.com/</t>
    </r>
  </si>
  <si>
    <r>
      <rPr>
        <rFont val="Arial,sans-serif"/>
        <color rgb="FF1155CC"/>
        <sz val="11.0"/>
        <u/>
      </rPr>
      <t>https://maps.app.goo.gl/9rfSV6yXmmxsjBfUA</t>
    </r>
  </si>
  <si>
    <t>https://maps.app.goo.gl/Qu7YJqQvf1GR16TX6</t>
  </si>
  <si>
    <t>https://maps.app.goo.gl/eVZjAJMoJTMzTKHA9</t>
  </si>
  <si>
    <t>Papirfly</t>
  </si>
  <si>
    <t>frevfdcewd4grt</t>
  </si>
  <si>
    <r>
      <rPr>
        <rFont val="Arial,sans-serif"/>
        <color rgb="FF1155CC"/>
        <sz val="11.0"/>
        <u/>
      </rPr>
      <t>https://maps.app.goo.gl/ugWGzw2vJVst6DBY6</t>
    </r>
  </si>
  <si>
    <r>
      <t xml:space="preserve">Målet er å få minst 8 av 16 poeng totalt etter 4 runder av standard wavelength. 
Spillet foregår på denne nettsiden:
</t>
    </r>
    <r>
      <rPr>
        <rFont val="Arial,sans-serif"/>
        <color rgb="FF1155CC"/>
        <sz val="11.0"/>
        <u/>
      </rPr>
      <t>https://wavelengthgame.app/topics</t>
    </r>
    <r>
      <rPr>
        <rFont val="Arial,sans-serif"/>
        <sz val="11.0"/>
      </rPr>
      <t xml:space="preserve"> 
Spillets gang er at dere får to “ekstremer” og en person får se pila. Denne personen skal så si et ord/konsept som samsvarer med pilens posisjon mellom de to ordene. Dette ordet/konseptet skal helst være relativt kort. Liksom ikke et paragraf. En annen person skal så gjette hvor pila. 
Om gjettet er i det grønne området får man 4 poeng, de røde - 3 poeng, og de gule - 2 poeng. 0 ellers.
Gjenta dette 4 ganger. Om man har totalt 8 eller flere poeng på slutten av oppgaven, er den vunnet. Om det ikke går er oppgaven tapt. Ingen nye forsøk wompeti womp.</t>
    </r>
  </si>
  <si>
    <t>Kast og ta imot en terning</t>
  </si>
  <si>
    <t>3*X</t>
  </si>
  <si>
    <r>
      <rPr>
        <rFont val="Arial,sans-serif"/>
        <color rgb="FF1155CC"/>
        <sz val="11.0"/>
        <u/>
      </rPr>
      <t>https://maps.app.goo.gl/RMojiMUV2PBHRE3LA</t>
    </r>
  </si>
  <si>
    <t>https://maps.app.goo.gl/GAuqvWxExHHmrL1g6</t>
  </si>
  <si>
    <t>Ringve skole</t>
  </si>
  <si>
    <t>Spending coins</t>
  </si>
  <si>
    <t>1.25X</t>
  </si>
  <si>
    <t>Hvor mange er på torget?</t>
  </si>
  <si>
    <r>
      <rPr>
        <rFont val="Arial,sans-serif"/>
        <color rgb="FF1155CC"/>
        <sz val="11.0"/>
        <u/>
      </rPr>
      <t>https://maps.app.goo.gl/igXf9VWfH3BTznhc6</t>
    </r>
  </si>
  <si>
    <t>https://maps.app.goo.gl/DuBT3zRiZDYZHJZB6</t>
  </si>
  <si>
    <t>https://maps.app.goo.gl/njuo4apG5s61eNxt8</t>
  </si>
  <si>
    <t>Balansegang på moholt</t>
  </si>
  <si>
    <r>
      <rPr>
        <rFont val="Arial,sans-serif"/>
        <color rgb="FF1155CC"/>
        <sz val="11.0"/>
        <u/>
      </rPr>
      <t>https://maps.app.goo.gl/m31pmjH2XDnSJZSb6</t>
    </r>
  </si>
  <si>
    <t>ftyhj</t>
  </si>
  <si>
    <t>En person generer et tall mellom 1 og 10. En annen person skal prøve å gjette tallet. Den som gjetter velger 1 kategori. Den andre personen skal nå si en ting fra denne kategorien, som samsvarer med det hemmelige tallet. Gjør dette med to kategorier til. Så gjetter personen tallet. Hvis de får tallet nøyaktig riktig vinner man. Hvis man får tallet feil får man reattempte challengen én gang. (Altså man får forsøkt challengen to ganger.)
Kategoriene:
Land
Plass i Trondheim
Matrett
Ting som har skjedd på JetLag
Challenge i dette spillet
Smågodt
Nyttårsforset
(Tenker vurderingen burde liksom være “beste”. Så “beste land”, “beste smågodt” osv.). Tenker også at personen som skal gjette ikke burde gi noen indikasjon på tankene sine.
Personen som gjetter får si en kort tanke om hva de tror tallet er etter hvert hint, uten noe tilbakemelding fra den andre personen.</t>
  </si>
  <si>
    <t>https://maps.app.goo.gl/bHkUgFeqUgE6rGqr8</t>
  </si>
  <si>
    <t>https://maps.app.goo.gl/p2EQNUVJDJssoJns7</t>
  </si>
  <si>
    <t>Djungelskog</t>
  </si>
  <si>
    <r>
      <rPr>
        <rFont val="Arial,sans-serif"/>
        <color rgb="FF1155CC"/>
        <sz val="11.0"/>
        <u/>
      </rPr>
      <t>https://maps.app.goo.gl/RFAfzhiR8oCzrXiTA</t>
    </r>
  </si>
  <si>
    <t>fwt5yhfvef4</t>
  </si>
  <si>
    <r>
      <t xml:space="preserve">En person generer et ord på denne nettsiden (bruk really hard):
</t>
    </r>
    <r>
      <rPr>
        <rFont val="Arial,sans-serif"/>
        <color rgb="FF1155CC"/>
        <sz val="11.0"/>
        <u/>
      </rPr>
      <t>https://randomwordgenerator.com/pictionary.php</t>
    </r>
    <r>
      <rPr>
        <rFont val="Arial,sans-serif"/>
        <sz val="11.0"/>
      </rPr>
      <t xml:space="preserve"> 
Det er lov å skippe en gang per runde. Altså om du generer et ord du ikke liker, får du skippe, men da MÅ du ta det neste ordet uansett hva.
Denne personen for så 2 minutter til å tegne på et ark, imens gjetteren prøver å gjette det. Om gjetteren gjetter riktig innen 2 minutter vinner dere. Om gjetteren ikke greier det må dere vente 3 minutter før dere får begynne på nytt.</t>
    </r>
  </si>
  <si>
    <r>
      <rPr>
        <rFont val="Arial,sans-serif"/>
        <color rgb="FF1155CC"/>
        <sz val="11.0"/>
        <u/>
      </rPr>
      <t>https://maps.app.goo.gl/Mobp3XMByYG36MHj9</t>
    </r>
  </si>
  <si>
    <r>
      <rPr>
        <rFont val="Arial,sans-serif"/>
        <color rgb="FFFFFFFF"/>
        <sz val="11.0"/>
        <u/>
      </rPr>
      <t>https://maps.app.goo.gl/RFAfzhiR8oCzrXiTA</t>
    </r>
  </si>
  <si>
    <t>Hvor stor tihi er Olav Trygvasson</t>
  </si>
  <si>
    <r>
      <rPr>
        <rFont val="Arial,sans-serif"/>
        <color rgb="FF1155CC"/>
        <sz val="11.0"/>
        <u/>
      </rPr>
      <t>https://maps.app.goo.gl/Mm93PHFeirV6oyRf8</t>
    </r>
  </si>
  <si>
    <t>https://maps.app.goo.gl/FwthZ6fuokMTAS5W8</t>
  </si>
  <si>
    <t>En person generer en farge mellom disse 12 fargene i hemmelighet:
- lyse/vanlig/mørke blå
- lyse/vanlig/mørke grønn
- lyse/vanlig/mørke gul
- lyse/vanlig/mørke rød
Så gir den personen et hint som passer til fargen, til den andre personen, som så gjetter hvilken farge det er. Dette gjentas 7 ganger
Oppgaven er bestått ved minst 5/7 korrekte forsøk.</t>
  </si>
  <si>
    <t>En person genererer et tilfeldig nummer mellom 1 og 10. De skal nå si en egenskap som tilsvarer at denne personen hadde vært det tallet ut av 10, selv om de ellers er en 10-er. Den andre personen gjetter tallet, og hvis det er riktig vinner dere oppgaven.
Ved feil tall må dere vente 3 minutter før dere kan prøve igjen.</t>
  </si>
  <si>
    <t>Estimer volumet av Nidarosdomen?</t>
  </si>
  <si>
    <r>
      <rPr>
        <rFont val="Arial,sans-serif"/>
        <color rgb="FF1155CC"/>
        <sz val="11.0"/>
        <u/>
      </rPr>
      <t>https://maps.app.goo.gl/ogd6nKw3KJWiu9d39</t>
    </r>
  </si>
  <si>
    <r>
      <rPr>
        <rFont val="Arial,sans-serif"/>
        <color rgb="FFFFFFFF"/>
        <sz val="11.0"/>
        <u/>
      </rPr>
      <t>https://maps.app.goo.gl/fR1TWnUbruUZWhRh6</t>
    </r>
  </si>
  <si>
    <t>Hvor mange butikker er det på Sirkus shopping?</t>
  </si>
  <si>
    <r>
      <rPr>
        <rFont val="Arial,sans-serif"/>
        <color rgb="FFFFFFFF"/>
        <sz val="11.0"/>
        <u/>
      </rPr>
      <t>https://maps.app.goo.gl/kVB3goNSAgXQ31739</t>
    </r>
  </si>
  <si>
    <r>
      <rPr>
        <rFont val="Arial,sans-serif"/>
        <color rgb="FF1155CC"/>
        <sz val="11.0"/>
        <u/>
      </rPr>
      <t>https://maps.app.goo.gl/HQZQyyYQHtMyu6fEA</t>
    </r>
  </si>
  <si>
    <r>
      <rPr>
        <rFont val="Arial,sans-serif"/>
        <color rgb="FF1155CC"/>
        <sz val="11.0"/>
        <u/>
      </rPr>
      <t>https://maps.app.goo.gl/wxJdzDibZhNkTi1W8</t>
    </r>
  </si>
  <si>
    <t>scdsc</t>
  </si>
  <si>
    <r>
      <t xml:space="preserve">Velg på forhånd hvor mange riktige dere kommer til å greier ut av 10. Før dere gjetter har dere lov til å prøve ulike daily trivia games på lenken. Generer så et tilfeldig spill hvor to spillere får være med å gjette. Hvis de greier flere eller like mange som de valgte, vinner de. Hvis ikke taper man jo dessverre womp womp.
</t>
    </r>
    <r>
      <rPr>
        <rFont val="Arial,sans-serif"/>
        <color rgb="FF1155CC"/>
        <sz val="11.0"/>
        <u/>
      </rPr>
      <t>https://www.jetpunk.com/daily-trivia/all</t>
    </r>
  </si>
  <si>
    <r>
      <rPr>
        <rFont val="Arial,sans-serif"/>
        <color rgb="FFFFFFFF"/>
        <sz val="11.0"/>
        <u/>
      </rPr>
      <t>https://maps.app.goo.gl/HQZQyyYQHtMyu6fEA</t>
    </r>
  </si>
  <si>
    <t>https://maps.app.goo.gl/DU5nw1y1YbhbggaC6</t>
  </si>
  <si>
    <r>
      <rPr>
        <rFont val="Arial,sans-serif"/>
        <color rgb="FFFFFFFF"/>
        <sz val="11.0"/>
        <u/>
      </rPr>
      <t>https://maps.app.goo.gl/LYvssTZAPUXHx8Ea8</t>
    </r>
  </si>
  <si>
    <t>Lade gård</t>
  </si>
  <si>
    <t>dscewfda</t>
  </si>
  <si>
    <t>Østmarkveien</t>
  </si>
  <si>
    <t>Bestem et antall minutter. En på laget må meditere så lenge, og gjette når den tiden har gått. Om de er mindre enn et minutt unna vinner dere.</t>
  </si>
  <si>
    <t>https://maps.app.goo.gl/rnYgkrYTyab2icJK9</t>
  </si>
  <si>
    <r>
      <rPr>
        <rFont val="Arial,sans-serif"/>
        <color rgb="FFFFFFFF"/>
        <sz val="11.0"/>
        <u/>
      </rPr>
      <t>https://maps.app.goo.gl/fR1TWnUbruUZWhRh6</t>
    </r>
  </si>
  <si>
    <t>Earned coins</t>
  </si>
  <si>
    <t>Krutthusbakken</t>
  </si>
  <si>
    <t>accdsdwd3d</t>
  </si>
  <si>
    <t>Ringve museum</t>
  </si>
  <si>
    <t>Den eldste og den yngste spiller et spill av stein saks papir. Siden den eldste er den vise må de vinne. Om den eldste vinner er oppgaven bestått. Hvis den yngste vinner, eller det blir likt, må spillerne vente i 3 minutter, før de kan gjenta prosessen. Imens spillerne venter har de lov til å gå rundt, men ikke ta kollektiv transport eller claime en stasjon (med mindre de vil kanselere denne challengen). Ikke lov å diskutere hva man skal ta på noen som helst måte.</t>
  </si>
  <si>
    <t>https://maps.app.goo.gl/8wAECEvvedxah8LL9</t>
  </si>
  <si>
    <t>Stolen coins</t>
  </si>
  <si>
    <r>
      <rPr>
        <rFont val="Arial,sans-serif"/>
        <color rgb="FFFFFFFF"/>
        <sz val="11.0"/>
        <u/>
      </rPr>
      <t>https://maps.app.goo.gl/xbrfy1pE5QBydykdA</t>
    </r>
  </si>
  <si>
    <t>Lade hammeren</t>
  </si>
  <si>
    <t>Olav Engelbrektssons allé</t>
  </si>
  <si>
    <t>Ladejarlen vgs</t>
  </si>
  <si>
    <t>Jørgen B. Lysholms vei</t>
  </si>
  <si>
    <t>Strandveikaia</t>
  </si>
  <si>
    <t>cdcwqd32d</t>
  </si>
  <si>
    <t>Lade allé</t>
  </si>
  <si>
    <t>Spill stein saks papir mot en fremmed. Best av tre, vinner. Det er ikke lov å planlegge eller at den fremmede taper med vilje. Hvis dere taper kan dere forsøke igjen, men mot en annen fremmed.</t>
  </si>
  <si>
    <r>
      <rPr>
        <rFont val="Arial,sans-serif"/>
        <color rgb="FFFFFFFF"/>
        <sz val="11.0"/>
        <u/>
      </rPr>
      <t>https://maps.app.goo.gl/ugWGzw2vJVst6DBY6</t>
    </r>
  </si>
  <si>
    <r>
      <rPr>
        <rFont val="Arial,sans-serif"/>
        <color rgb="FFFFFFFF"/>
        <sz val="11.0"/>
        <u/>
      </rPr>
      <t>https://maps.app.goo.gl/agXUshW7SPJky4qS6</t>
    </r>
  </si>
  <si>
    <t>Leangenbukta</t>
  </si>
  <si>
    <t>Dora</t>
  </si>
  <si>
    <t>sdcdscdscd</t>
  </si>
  <si>
    <t>Losgata</t>
  </si>
  <si>
    <t>Dere bestemmer en person som er gjetteren og en som er velgeren. Velgeren ser på de 5 nærmeste husene og velger hvilken den har mest medium lyst til å bo i (Altså nummer 3 av 5). Gjetteren får så 2 gjett på hvilket hus det er. (Både Velgeren og gjetteren bestemmer på forhånd hva de 5 nærmeste husene er).</t>
  </si>
  <si>
    <t>https://maps.app.goo.gl/Y5P4p3vfKYvFPnuq5</t>
  </si>
  <si>
    <t>Dyre Halses gate</t>
  </si>
  <si>
    <t>Buran</t>
  </si>
  <si>
    <t>https://maps.app.goo.gl/kjxCuT5ddeBwHsDx6</t>
  </si>
  <si>
    <r>
      <rPr>
        <rFont val="Arial,sans-serif"/>
        <color rgb="FFFFFFFF"/>
        <sz val="11.0"/>
        <u/>
      </rPr>
      <t>https://maps.app.goo.gl/XcTwydtFzFg3ptNE9</t>
    </r>
  </si>
  <si>
    <t>Rønningbakken</t>
  </si>
  <si>
    <t>Dalen Hageby</t>
  </si>
  <si>
    <t>Strindheim</t>
  </si>
  <si>
    <t>vsdvrgregvdvdscrrevfvdcvewf</t>
  </si>
  <si>
    <t>Rull en terning 20 meter bortover, slik at den lander på et partall. Distansen måles fra første punktet den treffer bakken til der den stopper.</t>
  </si>
  <si>
    <r>
      <rPr>
        <rFont val="Arial,sans-serif"/>
        <color rgb="FFFFFFFF"/>
        <sz val="11.0"/>
        <u/>
      </rPr>
      <t>https://maps.app.goo.gl/9rfSV6yXmmxsjBfUA</t>
    </r>
  </si>
  <si>
    <t>https://maps.app.goo.gl/gMuk1RVUC4ZDUKbVA</t>
  </si>
  <si>
    <t>Strindheim skole</t>
  </si>
  <si>
    <t>Brian smiths gate</t>
  </si>
  <si>
    <t>revdvdscewf</t>
  </si>
  <si>
    <t>Brattøra</t>
  </si>
  <si>
    <t>Rull en terning, helt til du får partall på syv påfølgende rull. Du har uendlig forsøk</t>
  </si>
  <si>
    <r>
      <rPr>
        <rFont val="Arial,sans-serif"/>
        <color rgb="FFFFFFFF"/>
        <sz val="11.0"/>
        <u/>
      </rPr>
      <t>https://maps.app.goo.gl/ugWGzw2vJVst6DBY6</t>
    </r>
  </si>
  <si>
    <r>
      <rPr>
        <rFont val="Arial,sans-serif"/>
        <color rgb="FFFFFFFF"/>
        <sz val="11.0"/>
        <u/>
      </rPr>
      <t>https://maps.app.goo.gl/RMojiMUV2PBHRE3LA</t>
    </r>
  </si>
  <si>
    <t>Solsiden</t>
  </si>
  <si>
    <t>Gamke Kongevei</t>
  </si>
  <si>
    <t>Strindheim Hageby</t>
  </si>
  <si>
    <t>erfdvdscvcef</t>
  </si>
  <si>
    <t>Bygg et tradisjonelt to etasjers korttårn. Tårnet må stå i 5 sekunder uten å falle uten ekstern støtte</t>
  </si>
  <si>
    <t>https://maps.app.goo.gl/8bGaY6NWGhLAK48U6</t>
  </si>
  <si>
    <r>
      <rPr>
        <rFont val="Arial,sans-serif"/>
        <color rgb="FFFFFFFF"/>
        <sz val="11.0"/>
        <u/>
      </rPr>
      <t>https://maps.app.goo.gl/RMojiMUV2PBHRE3LA</t>
    </r>
  </si>
  <si>
    <t>Bromstadvegen</t>
  </si>
  <si>
    <t>Persaunet leir</t>
  </si>
  <si>
    <r>
      <rPr>
        <rFont val="Arial,sans-serif"/>
        <color rgb="FFFFFFFF"/>
        <sz val="11.0"/>
        <u/>
      </rPr>
      <t>https://maps.app.goo.gl/ogd6nKw3KJWiu9d39</t>
    </r>
  </si>
  <si>
    <t>ewfdsvsdcewcrf</t>
  </si>
  <si>
    <t>Bygg et tradisjonelt tre etasjers korttårn. Tårnet må stå i 5 sekunder uten å falle uten ekstern støtte</t>
  </si>
  <si>
    <r>
      <rPr>
        <rFont val="Arial,sans-serif"/>
        <color rgb="FFFFFFFF"/>
        <sz val="11.0"/>
        <u/>
      </rPr>
      <t>https://maps.app.goo.gl/igXf9VWfH3BTznhc6</t>
    </r>
  </si>
  <si>
    <t>Bromstadsvingen</t>
  </si>
  <si>
    <t>Trondheim S</t>
  </si>
  <si>
    <t>Bakkegata</t>
  </si>
  <si>
    <t>Weidemannsveien</t>
  </si>
  <si>
    <t>https://maps.app.goo.gl/tNptMj9kaVwiUpPu6</t>
  </si>
  <si>
    <t>vdscefdewfreg</t>
  </si>
  <si>
    <t>Clara Holsts veg</t>
  </si>
  <si>
    <t>På likt sier to av lagmedlemmene et ord. Etter det sier begge et nytt ord på likt, som skal være ordet midt imellom de to forrige. Hvis de har riktig, vinner de. Hvis de har feil gjentas må de vente i 30 sekunder før de får prøve igjen. Det er ikke lov å gjenta ord.
Man kan alltid bli enige om å starte igjen fra starten, altså si to helt tilfeldige ord.</t>
  </si>
  <si>
    <t>Solvollvegen</t>
  </si>
  <si>
    <r>
      <rPr>
        <rFont val="Arial,sans-serif"/>
        <color rgb="FFFFFFFF"/>
        <sz val="11.0"/>
        <u/>
      </rPr>
      <t>https://maps.app.goo.gl/m31pmjH2XDnSJZSb6</t>
    </r>
  </si>
  <si>
    <t>https://maps.app.goo.gl/j5x8bp4qDuWYuEP89</t>
  </si>
  <si>
    <t>Brøsetflata</t>
  </si>
  <si>
    <t>Søndre gate</t>
  </si>
  <si>
    <t>Gyldenløvens gate</t>
  </si>
  <si>
    <t>Tyholt</t>
  </si>
  <si>
    <t>vbrtrgrfv</t>
  </si>
  <si>
    <t>En person tar 5 bilder av omgivelsene. En for hver person. En annen person må gjette alle riktig. Ikke lov å ta bilder av noen på laget eller bilde av navnet deres osv.</t>
  </si>
  <si>
    <t>Lag blå begynner å generere herifra</t>
  </si>
  <si>
    <t>Olav Tryggvasons gate</t>
  </si>
  <si>
    <r>
      <rPr>
        <rFont val="Arial,sans-serif"/>
        <color rgb="FFFFFFFF"/>
        <sz val="11.0"/>
        <u/>
      </rPr>
      <t>https://maps.app.goo.gl/RFAfzhiR8oCzrXiTA</t>
    </r>
  </si>
  <si>
    <t>https://maps.app.goo.gl/RiZ1umXgh5THavJf8</t>
  </si>
  <si>
    <t>Brøset Hageby</t>
  </si>
  <si>
    <t>Cecilie Thoresens veg</t>
  </si>
  <si>
    <t>dvefdewfregfdv</t>
  </si>
  <si>
    <t>Valentinlyst</t>
  </si>
  <si>
    <r>
      <t xml:space="preserve">Vinn hard hangman! Hvis dere taper får dere prøve på nytt etter ett minutt.
</t>
    </r>
    <r>
      <rPr>
        <rFont val="Arial,sans-serif"/>
        <color rgb="FF1155CC"/>
        <sz val="11.0"/>
        <u/>
      </rPr>
      <t>https://www.hangmanwords.com/play/hard-words</t>
    </r>
  </si>
  <si>
    <t>https://maps.app.goo.gl/YxB1pG7R87Fn8H559</t>
  </si>
  <si>
    <t>Tegleverkskrysset</t>
  </si>
  <si>
    <t>Festningsgata</t>
  </si>
  <si>
    <t>Prinsens gate</t>
  </si>
  <si>
    <t>Henrik Ourens veg</t>
  </si>
  <si>
    <t>Kongensgate</t>
  </si>
  <si>
    <t>Magnus Berrføtts veg</t>
  </si>
  <si>
    <t>Strinda kirke</t>
  </si>
  <si>
    <t>Ankers gate</t>
  </si>
  <si>
    <t>Strinda vgs</t>
  </si>
  <si>
    <t>Moholt storsenter</t>
  </si>
  <si>
    <t>Nidarosdommen</t>
  </si>
  <si>
    <t>Sigurd Jorsalfars veg</t>
  </si>
  <si>
    <t>Jonsvannsveien</t>
  </si>
  <si>
    <r>
      <rPr>
        <rFont val="Arial,sans-serif"/>
        <color rgb="FFFFFFFF"/>
        <sz val="11.0"/>
        <u/>
      </rPr>
      <t>https://maps.app.goo.gl/Mm93PHFeirV6oyRf8</t>
    </r>
  </si>
  <si>
    <r>
      <rPr>
        <rFont val="Arial,sans-serif"/>
        <color rgb="FFFFFFFF"/>
        <sz val="11.0"/>
        <u/>
      </rPr>
      <t>https://maps.app.goo.gl/Mobp3XMByYG36MHj9</t>
    </r>
  </si>
  <si>
    <t>Voll studentby</t>
  </si>
  <si>
    <t>Moholt</t>
  </si>
  <si>
    <t>Samfundet</t>
  </si>
  <si>
    <t>Gløshaugen</t>
  </si>
  <si>
    <t>dfewtergf</t>
  </si>
  <si>
    <t>Berg studentby</t>
  </si>
  <si>
    <t>En på laget samler inn steiner i opptil 5 minutterl. Så bestemmer man for hvor mange ulike dyr man kan lage med steinene, hvor den andre personen gjetter alle dyrene riktig.
Personen lager så dyrene med steiner. Alle dyrene må være forskjellige. Hvis den andre personen gjetter alle riktig vinner dere. En feil så blir det et tap asså.
Ikke lov med bokstaver eller antydning til stavelse av dyret med steinene.
Max 10 dyr.</t>
  </si>
  <si>
    <t>https://maps.app.goo.gl/HXnzUXFUGRbVYCob8</t>
  </si>
  <si>
    <t>Østre berg</t>
  </si>
  <si>
    <t>Reserve konkurranser</t>
  </si>
  <si>
    <r>
      <rPr>
        <rFont val="Arial,sans-serif"/>
        <color rgb="FFFFFFFF"/>
        <sz val="11.0"/>
        <u/>
      </rPr>
      <t>https://maps.app.goo.gl/Mm93PHFeirV6oyRf8</t>
    </r>
  </si>
  <si>
    <t>Høyskoleringen</t>
  </si>
  <si>
    <t>Hestehagen</t>
  </si>
  <si>
    <t>Lerkendal</t>
  </si>
  <si>
    <t>Lerkendal Gård</t>
  </si>
  <si>
    <t>fewdetergfv</t>
  </si>
  <si>
    <t>Uten å se på mobilen eller et kart, kom dere til et busstopp dere tror ikke er claimet eller som dere tror det andre laget har claimet. Når dere er ved busstoppet sjekker dere på mobilen, og om dere ikke har stasjonen greier dere challengen. Imens hvis den er deres eller dere ser på et kart, er challengen tapt, og dere må ikke lenger gå til stasjonen</t>
  </si>
  <si>
    <r>
      <rPr>
        <rFont val="Arial,sans-serif"/>
        <color rgb="FFFFFFFF"/>
        <sz val="11.0"/>
        <u/>
      </rPr>
      <t>https://maps.app.goo.gl/ogd6nKw3KJWiu9d39</t>
    </r>
  </si>
  <si>
    <t>RESERVE</t>
  </si>
  <si>
    <t>ewfergergfd</t>
  </si>
  <si>
    <t>Send et bilde av en på laget til motstanderen. 50% av bildet må inneholde noe av huden til spilleren. Kameraet må være minst 4 cm unna spilleren. Bildet blir så sendt til det andre laget som må gjette hvilken spiller det er. Det andre laget har 5 minutter på å svare når de får meldingen. Hvis de ikke svarer, eller svarer feil vinner det andre laget. Imens man venter på svar får man lov til å begynne på en ny challenge og/eller ta buss.</t>
  </si>
  <si>
    <r>
      <rPr>
        <rFont val="Arial,sans-serif"/>
        <color rgb="FFFFFFFF"/>
        <sz val="11.0"/>
        <u/>
      </rPr>
      <t>https://maps.app.goo.gl/HQZQyyYQHtMyu6fEA</t>
    </r>
  </si>
  <si>
    <t>efefergf</t>
  </si>
  <si>
    <t>Finn ulike 25 bokstaver av alfabetet. Noter ned hver dere ser helt til kun tre er igjen. Kun de 29 bokstavene fra det norske alfabetet gjelder. Bokstaver funnet på mobiler eller på medbrakte ting gjelder ikke.
Ikke lov å gå inn på butikk.</t>
  </si>
  <si>
    <r>
      <rPr>
        <rFont val="Arial,sans-serif"/>
        <color rgb="FFFFFFFF"/>
        <sz val="11.0"/>
        <u/>
      </rPr>
      <t>https://maps.app.goo.gl/wxJdzDibZhNkTi1W8</t>
    </r>
  </si>
  <si>
    <t>https://maps.app.goo.gl/ioHTesyKBet6naFNA</t>
  </si>
  <si>
    <t>cefwegergfv</t>
  </si>
  <si>
    <t>Hent inn så mange steiner dere vil i forberedelsesfasen. Før dere begynner å bygge, bestemmer dere dere for hvor mange steiner tårnet består av. Etter det har en person 1 minutt på å bygge et tårn med så mange steiner. Tårnet skal stå av seg selv i 5 sekunder når tiden er ute (eller på et punkt i løpet av minuttet), om det består av så mange steiner vinner dere oppgaven. Tårnet kan falle underveis i oppgaven, så lenge det står på slutten. Hver stein kan kun berøre steinen over og steinen under. Altså det er ikke lov å legge flere steiner direkte oppå samme stein.</t>
  </si>
  <si>
    <r>
      <t xml:space="preserve">Generer en setning som er minst 20 ord. En på laget lærer seg settingen. Så går de minst 100 meter bort, snur, og går tilbake. De skal så gjenta setningen nøyaktig som de husker den. Om de greier å gjenta settningen helt riktig består dere oppgaven, om ikke er den tapt :/. (Ordene må være nøyaktig riktig, om det er flertall må det sies som flertall).
</t>
    </r>
    <r>
      <rPr>
        <rFont val="Arial,sans-serif"/>
        <color rgb="FF1155CC"/>
        <sz val="11.0"/>
        <u/>
      </rPr>
      <t>https://randomwordgenerator.com/sentence.php</t>
    </r>
  </si>
  <si>
    <t>https://maps.app.goo.gl/kRRiGGTAnJu9zfMP6</t>
  </si>
  <si>
    <t>https://maps.app.goo.gl/KHGrkEUnA5Ab1Txw5</t>
  </si>
  <si>
    <t>Bli enige om hva de 5 nærmeste husene er. En på laget “deler ut” et hus til hver person i hemmelighet. En annen på laget må gjette hvem som har vært hus. Det er bare lov å gjette ett hus per person. Hvis man får minst to riktig består man oppgaven. 
Hvis to hus er identiske, så velges bare en av dem som en av de fem nærmeste.</t>
  </si>
  <si>
    <t>Legg et kjeks midt på pannen, og transporter den inn i munnen kun ved bruk av fjeset og risting på hodet/kropp. Det er ingen øving på denne oppgaven, men tre forsøk. Det er lov å bytte person mellom hvert forsøk</t>
  </si>
  <si>
    <t>Velg en view. Den ene på laget tegner alt den ser på 5 minutter uten at en annen på laget ser. Når tiden går ut skal den andre nevne 7 ting den ser i viewen. Hvis alle de er på tegningen vinner laget, hvis noen mangler taper laget.</t>
  </si>
  <si>
    <t>Name 100 women. Skriv de inn i et excel dokument. Kun en kan skrive i excel skjemaet om gangen. Må være en menneskelig ekte kvinne.</t>
  </si>
  <si>
    <t>Film et dyr sammenhengende i 3 minutter. Det kan være fugl, maur, katt (ikke menneske!!!). Ikke film et dyr aktivt går på tur med et menneske, (en hund i bånd feks).</t>
  </si>
  <si>
    <t>https://maps.app.goo.gl/NNuUPg1PAzWgAkyA9</t>
  </si>
  <si>
    <t>Klatre opp et tre (ikke i noens hage), minst 2,5 meter. (Ingen del av deg er under 2,5 meter)</t>
  </si>
  <si>
    <t>En person generer et 4 bokstavs ord, og bruker strava til å skrive ordet. Den andre personen har et forsøk til å gjette riktig.</t>
  </si>
  <si>
    <t>Fell minst 5 tårer. Disse kan være fordelt over opptil to lagmedlemmer</t>
  </si>
  <si>
    <t>Laget må estimere 15 cm, uten feil, X antall ganger. 
Dere kan øve så mye dere ønsker.
Når øvelsen begynner skal en valgfri person spinne rundt 360 grader, så dra målebåndet opp til det du tror er 15 cm, uten å se på cm siden, lagmedlemmene dine får også ikke lov til å se på cm-siden.
Hvis guessen er innenfor 14,5-15,5 cm er det godkjent, hvis ikke er oppgaven feilet. Gjenta nå denne prosessen til dere har gjennomført det X ganger, MEN det må være en ny person som estimerer enn det var gangen før.
Det er ikke lov å feks finne noe som er 15 cm og sammenligne med det når dere estimerer, shamener?</t>
  </si>
  <si>
    <t>5X</t>
  </si>
  <si>
    <t>Explanation</t>
  </si>
  <si>
    <t>https://maps.app.goo.gl/TNiJv5Aktttk36L36</t>
  </si>
  <si>
    <t>https://maps.app.goo.gl/MtBknHkQ4wZf72p8A</t>
  </si>
  <si>
    <t>https://maps.app.goo.gl/1BKArFnVDiZ3YYff6</t>
  </si>
  <si>
    <t>https://maps.app.goo.gl/VCwTNAkxSoYsuoi3A</t>
  </si>
  <si>
    <t>https://maps.app.goo.gl/29Hi8pwt78BmDsdP6</t>
  </si>
  <si>
    <r>
      <rPr>
        <rFont val="Arial,sans-serif"/>
        <color rgb="FFFFFFFF"/>
        <sz val="11.0"/>
        <u/>
      </rPr>
      <t>https://maps.app.goo.gl/kVB3goNSAgXQ31739</t>
    </r>
  </si>
  <si>
    <t>Spending money</t>
  </si>
  <si>
    <r>
      <rPr>
        <rFont val="Arial,sans-serif"/>
        <color rgb="FFFFFFFF"/>
        <sz val="11.0"/>
        <u/>
      </rPr>
      <t>https://maps.app.goo.gl/9rfSV6yXmmxsjBfUA</t>
    </r>
  </si>
  <si>
    <r>
      <rPr>
        <rFont val="Arial,sans-serif"/>
        <color rgb="FFFFFFFF"/>
        <sz val="11.0"/>
        <u/>
      </rPr>
      <t>https://maps.app.goo.gl/agXUshW7SPJky4qS6</t>
    </r>
  </si>
  <si>
    <t>https://maps.app.goo.gl/JJhcroDG8XEUSq1z9</t>
  </si>
  <si>
    <t>https://maps.app.goo.gl/GHwjgXgmUUzUERKr6</t>
  </si>
  <si>
    <t>https://maps.app.goo.gl/hW6vbpyJFEkcV7T69</t>
  </si>
  <si>
    <t>https://maps.app.goo.gl/GVCTfRD9ypcaYZCc7</t>
  </si>
  <si>
    <t>https://maps.app.goo.gl/9pq5dZpFJytipmX8A</t>
  </si>
  <si>
    <t>https://maps.app.goo.gl/4cK16LS8wxWoXhE19</t>
  </si>
  <si>
    <t>Absolute money</t>
  </si>
  <si>
    <t>https://maps.app.goo.gl/uvUP755XAjuTCgHq6</t>
  </si>
  <si>
    <r>
      <rPr>
        <rFont val="Arial,sans-serif"/>
        <color rgb="FFFFFFFF"/>
        <sz val="11.0"/>
        <u/>
      </rPr>
      <t>https://maps.app.goo.gl/m31pmjH2XDnSJZSb6</t>
    </r>
  </si>
  <si>
    <t>https://maps.app.goo.gl/NE1K6EULLaLDVowD9</t>
  </si>
  <si>
    <r>
      <rPr>
        <rFont val="Arial,sans-serif"/>
        <color rgb="FFFFFFFF"/>
        <sz val="11.0"/>
        <u/>
      </rPr>
      <t>https://maps.app.goo.gl/igXf9VWfH3BTznhc6</t>
    </r>
  </si>
  <si>
    <t>https://maps.app.goo.gl/vPBWHZ5uuH4jrcVx5</t>
  </si>
  <si>
    <r>
      <rPr>
        <rFont val="Arial,sans-serif"/>
        <color rgb="FFFFFFFF"/>
        <sz val="11.0"/>
        <u/>
      </rPr>
      <t>https://maps.app.goo.gl/XcTwydtFzFg3ptNE9</t>
    </r>
  </si>
  <si>
    <t>https://maps.app.goo.gl/X4YMGfjo8fDqWpow6</t>
  </si>
  <si>
    <t>https://maps.app.goo.gl/RS8MJw5CLv8akG2P7</t>
  </si>
  <si>
    <t>https://maps.app.goo.gl/ME2hmyoraBDcgP1h8</t>
  </si>
  <si>
    <t>https://maps.app.goo.gl/k71eSW9zCuZJj4tP9</t>
  </si>
  <si>
    <t>https://maps.app.goo.gl/eSdcmNkSAtsqW82o7</t>
  </si>
  <si>
    <t>Reserver</t>
  </si>
  <si>
    <t>ZZZ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</si>
</sst>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2">
    <font>
      <sz val="10.0"/>
      <color rgb="FF000000"/>
      <name val="Arial"/>
      <scheme val="minor"/>
    </font>
    <font>
      <sz val="11.0"/>
      <color rgb="FF000000"/>
      <name val="Arial"/>
    </font>
    <font>
      <color theme="1"/>
      <name val="Arial"/>
      <scheme val="minor"/>
    </font>
    <font>
      <color rgb="FF000000"/>
      <name val="Arial"/>
      <scheme val="minor"/>
    </font>
    <font>
      <u/>
      <sz val="11.0"/>
      <color rgb="FF0000FF"/>
      <name val="Arial"/>
    </font>
    <font>
      <sz val="11.0"/>
      <color rgb="FFFFFFFF"/>
      <name val="Arial"/>
    </font>
    <font>
      <u/>
      <color rgb="FFFFFFFF"/>
    </font>
    <font>
      <u/>
      <color rgb="FFFFFFFF"/>
    </font>
    <font>
      <u/>
      <sz val="11.0"/>
      <color rgb="FFFFFFFF"/>
      <name val="Arial"/>
    </font>
    <font>
      <u/>
      <sz val="11.0"/>
      <color rgb="FFFFFFFF"/>
      <name val="Arial"/>
    </font>
    <font>
      <u/>
      <color rgb="FF000000"/>
    </font>
    <font>
      <u/>
      <color rgb="FFFFFFFF"/>
    </font>
    <font>
      <sz val="12.0"/>
      <color rgb="FF000000"/>
      <name val="&quot;Aptos Narrow&quot;"/>
    </font>
    <font>
      <sz val="12.0"/>
      <color rgb="FF000000"/>
      <name val="Arial"/>
    </font>
    <font>
      <sz val="12.0"/>
      <color rgb="FFEA9999"/>
      <name val="&quot;Aptos Narrow&quot;"/>
    </font>
    <font>
      <u/>
      <color rgb="FFFFFFFF"/>
    </font>
    <font>
      <u/>
      <color rgb="FFFFFFFF"/>
    </font>
    <font>
      <u/>
      <sz val="11.0"/>
      <color rgb="FFFFFFFF"/>
      <name val="Arial"/>
    </font>
    <font>
      <u/>
      <color rgb="FFFFFFFF"/>
    </font>
    <font>
      <u/>
      <sz val="11.0"/>
      <color rgb="FFFFFFFF"/>
      <name val="Arial"/>
    </font>
    <font>
      <u/>
      <color rgb="FFFFFFFF"/>
    </font>
    <font>
      <b/>
      <color theme="1"/>
      <name val="Arial"/>
      <scheme val="minor"/>
    </font>
  </fonts>
  <fills count="13">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
      <patternFill patternType="solid">
        <fgColor rgb="FF9FC5E8"/>
        <bgColor rgb="FF9FC5E8"/>
      </patternFill>
    </fill>
    <fill>
      <patternFill patternType="solid">
        <fgColor theme="0"/>
        <bgColor theme="0"/>
      </patternFill>
    </fill>
    <fill>
      <patternFill patternType="solid">
        <fgColor rgb="FFEA9999"/>
        <bgColor rgb="FFEA9999"/>
      </patternFill>
    </fill>
    <fill>
      <patternFill patternType="solid">
        <fgColor rgb="FFCFE2F3"/>
        <bgColor rgb="FFCFE2F3"/>
      </patternFill>
    </fill>
    <fill>
      <patternFill patternType="solid">
        <fgColor theme="5"/>
        <bgColor theme="5"/>
      </patternFill>
    </fill>
    <fill>
      <patternFill patternType="solid">
        <fgColor theme="4"/>
        <bgColor theme="4"/>
      </patternFill>
    </fill>
  </fills>
  <borders count="58">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bottom style="thin">
        <color rgb="FF000000"/>
      </bottom>
    </border>
    <border>
      <top style="medium">
        <color rgb="FF000000"/>
      </top>
    </border>
    <border>
      <left style="medium">
        <color rgb="FF000000"/>
      </left>
    </border>
    <border>
      <left style="medium">
        <color rgb="FF000000"/>
      </left>
      <top style="thin">
        <color rgb="FF000000"/>
      </top>
      <bottom style="thin">
        <color rgb="FF000000"/>
      </bottom>
    </border>
    <border>
      <top style="thin">
        <color rgb="FF000000"/>
      </top>
      <bottom style="thin">
        <color rgb="FF000000"/>
      </bottom>
    </border>
    <border>
      <bottom style="thin">
        <color rgb="FF000000"/>
      </bottom>
    </border>
    <border>
      <bottom style="thick">
        <color rgb="FF000000"/>
      </bottom>
    </border>
    <border>
      <left style="thin">
        <color rgb="FF000000"/>
      </left>
      <right style="thin">
        <color rgb="FF000000"/>
      </right>
      <top style="thin">
        <color rgb="FF000000"/>
      </top>
      <bottom style="thick">
        <color rgb="FF000000"/>
      </bottom>
    </border>
    <border>
      <left style="medium">
        <color rgb="FF000000"/>
      </left>
      <right style="medium">
        <color rgb="FF000000"/>
      </right>
      <top style="thin">
        <color rgb="FF000000"/>
      </top>
    </border>
    <border>
      <top style="thin">
        <color rgb="FF000000"/>
      </top>
    </border>
    <border>
      <right style="thick">
        <color rgb="FF000000"/>
      </right>
    </border>
    <border>
      <right style="thin">
        <color rgb="FF000000"/>
      </right>
      <bottom style="thin">
        <color rgb="FF000000"/>
      </bottom>
    </border>
    <border>
      <left style="thin">
        <color rgb="FF000000"/>
      </left>
      <bottom style="thin">
        <color rgb="FF000000"/>
      </bottom>
    </border>
    <border>
      <left style="thick">
        <color rgb="FF000000"/>
      </left>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top style="thick">
        <color rgb="FF000000"/>
      </top>
    </border>
    <border>
      <left style="thin">
        <color rgb="FF000000"/>
      </left>
      <right style="thick">
        <color rgb="FF000000"/>
      </right>
      <top style="thick">
        <color rgb="FF000000"/>
      </top>
      <bottom style="thick">
        <color rgb="FF000000"/>
      </bottom>
    </border>
    <border>
      <right style="thick">
        <color rgb="FF000000"/>
      </right>
      <top style="thick">
        <color rgb="FF000000"/>
      </top>
    </border>
    <border>
      <left style="thin">
        <color rgb="FF000000"/>
      </left>
      <right style="thick">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ck">
        <color rgb="FF000000"/>
      </top>
    </border>
    <border>
      <top style="double">
        <color rgb="FF000000"/>
      </top>
    </border>
    <border>
      <right style="double">
        <color rgb="FF000000"/>
      </right>
      <top style="double">
        <color rgb="FF000000"/>
      </top>
    </border>
    <border>
      <left style="thick">
        <color rgb="FF000000"/>
      </left>
      <right style="thick">
        <color rgb="FF000000"/>
      </right>
      <bottom style="thin">
        <color rgb="FF000000"/>
      </bottom>
    </border>
    <border>
      <right style="double">
        <color rgb="FF000000"/>
      </right>
    </border>
    <border>
      <left style="thick">
        <color rgb="FF000000"/>
      </left>
      <right style="thick">
        <color rgb="FF000000"/>
      </right>
    </border>
    <border>
      <left style="thick">
        <color rgb="FF000000"/>
      </left>
      <top style="thick">
        <color rgb="FF000000"/>
      </top>
    </border>
    <border>
      <left style="thin">
        <color rgb="FF000000"/>
      </left>
      <top style="thick">
        <color rgb="FF000000"/>
      </top>
      <bottom style="thin">
        <color rgb="FF000000"/>
      </bottom>
    </border>
    <border>
      <left style="thick">
        <color rgb="FF000000"/>
      </left>
      <right style="double">
        <color rgb="FF000000"/>
      </right>
    </border>
    <border>
      <left style="thin">
        <color rgb="FF000000"/>
      </left>
      <top style="thin">
        <color rgb="FF000000"/>
      </top>
      <bottom style="thin">
        <color rgb="FF000000"/>
      </bottom>
    </border>
    <border>
      <right style="thin">
        <color rgb="FF000000"/>
      </right>
      <top style="thin">
        <color rgb="FF000000"/>
      </top>
      <bottom style="thick">
        <color rgb="FF000000"/>
      </bottom>
    </border>
    <border>
      <left style="thick">
        <color rgb="FF000000"/>
      </left>
      <right style="double">
        <color rgb="FF000000"/>
      </right>
      <top style="thin">
        <color rgb="FF000000"/>
      </top>
      <bottom style="double">
        <color rgb="FF000000"/>
      </bottom>
    </border>
    <border>
      <left style="thick">
        <color rgb="FF000000"/>
      </left>
      <bottom style="thick">
        <color rgb="FF000000"/>
      </bottom>
    </border>
    <border>
      <right style="thick">
        <color rgb="FF000000"/>
      </right>
      <bottom style="thick">
        <color rgb="FF000000"/>
      </bottom>
    </border>
    <border>
      <left style="thin">
        <color rgb="FF000000"/>
      </left>
      <right style="thick">
        <color rgb="FF000000"/>
      </right>
    </border>
    <border>
      <left style="thin">
        <color rgb="FF000000"/>
      </left>
      <right style="thick">
        <color rgb="FF000000"/>
      </right>
      <bottom style="thin">
        <color rgb="FF000000"/>
      </bottom>
    </border>
    <border>
      <left style="thin">
        <color rgb="FF000000"/>
      </left>
      <right style="thin">
        <color rgb="FF000000"/>
      </right>
      <bottom style="thin">
        <color rgb="FF000000"/>
      </bottom>
    </border>
    <border>
      <left style="thick">
        <color rgb="FF000000"/>
      </left>
      <top style="thin">
        <color rgb="FF000000"/>
      </top>
      <bottom style="thin">
        <color rgb="FF000000"/>
      </bottom>
    </border>
    <border>
      <left style="thin">
        <color rgb="FF000000"/>
      </left>
      <right style="thick">
        <color rgb="FF000000"/>
      </right>
      <top style="thin">
        <color rgb="FF000000"/>
      </top>
    </border>
    <border>
      <left style="thick">
        <color rgb="FF000000"/>
      </left>
      <top style="thick">
        <color rgb="FF000000"/>
      </top>
      <bottom style="thin">
        <color rgb="FF000000"/>
      </bottom>
    </border>
    <border>
      <left style="thin">
        <color rgb="FF000000"/>
      </left>
      <top style="thick">
        <color rgb="FF000000"/>
      </top>
    </border>
    <border>
      <left style="medium">
        <color rgb="FF000000"/>
      </left>
      <top style="thin">
        <color rgb="FF000000"/>
      </top>
    </border>
    <border>
      <left style="medium">
        <color rgb="FF000000"/>
      </left>
      <right style="medium">
        <color rgb="FF000000"/>
      </right>
      <top style="thin">
        <color rgb="FF000000"/>
      </top>
      <bottom style="thin">
        <color rgb="FF000000"/>
      </bottom>
    </border>
    <border>
      <left style="medium">
        <color rgb="FF000000"/>
      </left>
      <bottom style="thin">
        <color rgb="FF000000"/>
      </bottom>
    </border>
    <border>
      <left style="medium">
        <color rgb="FF000000"/>
      </left>
      <bottom style="medium">
        <color rgb="FF000000"/>
      </bottom>
    </border>
    <border>
      <bottom style="medium">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1" fillId="0" fontId="2" numFmtId="0" xfId="0" applyBorder="1" applyFont="1"/>
    <xf borderId="0" fillId="0" fontId="2" numFmtId="0" xfId="0" applyAlignment="1" applyFont="1">
      <alignment readingOrder="0"/>
    </xf>
    <xf borderId="1" fillId="2" fontId="2" numFmtId="0" xfId="0" applyAlignment="1" applyBorder="1" applyFill="1" applyFont="1">
      <alignment readingOrder="0"/>
    </xf>
    <xf borderId="0" fillId="3" fontId="3" numFmtId="0" xfId="0" applyAlignment="1" applyFill="1" applyFont="1">
      <alignment readingOrder="0"/>
    </xf>
    <xf borderId="1" fillId="4" fontId="2" numFmtId="0" xfId="0" applyAlignment="1" applyBorder="1" applyFill="1" applyFont="1">
      <alignment readingOrder="0"/>
    </xf>
    <xf borderId="0" fillId="5" fontId="2" numFmtId="0" xfId="0" applyAlignment="1" applyFill="1" applyFont="1">
      <alignment readingOrder="0"/>
    </xf>
    <xf borderId="2" fillId="0" fontId="3" numFmtId="0" xfId="0" applyBorder="1" applyFont="1"/>
    <xf borderId="3" fillId="0" fontId="2" numFmtId="0" xfId="0" applyAlignment="1" applyBorder="1" applyFont="1">
      <alignment readingOrder="0"/>
    </xf>
    <xf borderId="0" fillId="0" fontId="4" numFmtId="0" xfId="0" applyAlignment="1" applyFont="1">
      <alignment horizontal="left" readingOrder="0" shrinkToFit="0" wrapText="1"/>
    </xf>
    <xf borderId="4" fillId="0" fontId="3" numFmtId="0" xfId="0" applyBorder="1" applyFont="1"/>
    <xf borderId="4" fillId="0" fontId="5" numFmtId="0" xfId="0" applyAlignment="1" applyBorder="1" applyFont="1">
      <alignment horizontal="left" readingOrder="0" shrinkToFit="0" wrapText="1"/>
    </xf>
    <xf borderId="0" fillId="0" fontId="1" numFmtId="9" xfId="0" applyAlignment="1" applyFont="1" applyNumberFormat="1">
      <alignment horizontal="left" readingOrder="0" shrinkToFit="0" wrapText="1"/>
    </xf>
    <xf borderId="4" fillId="3" fontId="6" numFmtId="0" xfId="0" applyAlignment="1" applyBorder="1" applyFill="1" applyFont="1">
      <alignment readingOrder="0"/>
    </xf>
    <xf borderId="5" fillId="0" fontId="2" numFmtId="0" xfId="0" applyBorder="1" applyFont="1"/>
    <xf borderId="6" fillId="0" fontId="3" numFmtId="0" xfId="0" applyBorder="1" applyFont="1"/>
    <xf borderId="7" fillId="0" fontId="3" numFmtId="0" xfId="0" applyBorder="1" applyFont="1"/>
    <xf borderId="7" fillId="0" fontId="5" numFmtId="0" xfId="0" applyAlignment="1" applyBorder="1" applyFont="1">
      <alignment horizontal="left" readingOrder="0" shrinkToFit="0" wrapText="1"/>
    </xf>
    <xf borderId="7" fillId="0" fontId="5" numFmtId="9" xfId="0" applyAlignment="1" applyBorder="1" applyFont="1" applyNumberFormat="1">
      <alignment horizontal="left" readingOrder="0" shrinkToFit="0" wrapText="1"/>
    </xf>
    <xf borderId="0" fillId="6" fontId="1" numFmtId="0" xfId="0" applyAlignment="1" applyFill="1" applyFont="1">
      <alignment horizontal="left" readingOrder="0" shrinkToFit="0" wrapText="1"/>
    </xf>
    <xf borderId="7" fillId="3" fontId="7" numFmtId="0" xfId="0" applyAlignment="1" applyBorder="1" applyFill="1" applyFont="1">
      <alignment readingOrder="0"/>
    </xf>
    <xf borderId="0" fillId="0" fontId="5" numFmtId="0" xfId="0" applyAlignment="1" applyFont="1">
      <alignment horizontal="left" readingOrder="0" shrinkToFit="0" wrapText="1"/>
    </xf>
    <xf borderId="0" fillId="6" fontId="1" numFmtId="9" xfId="0" applyAlignment="1" applyFill="1" applyFont="1" applyNumberFormat="1">
      <alignment horizontal="left" readingOrder="0" shrinkToFit="0" wrapText="1"/>
    </xf>
    <xf borderId="0" fillId="0" fontId="8" numFmtId="0" xfId="0" applyAlignment="1" applyFont="1">
      <alignment horizontal="left" readingOrder="0" shrinkToFit="0" wrapText="1"/>
    </xf>
    <xf borderId="6" fillId="0" fontId="2" numFmtId="0" xfId="0" applyBorder="1" applyFont="1"/>
    <xf borderId="7" fillId="0" fontId="2" numFmtId="0" xfId="0" applyBorder="1" applyFont="1"/>
    <xf borderId="0" fillId="0" fontId="1" numFmtId="164" xfId="0" applyAlignment="1" applyFont="1" applyNumberFormat="1">
      <alignment horizontal="left" readingOrder="0" shrinkToFit="0" wrapText="1"/>
    </xf>
    <xf borderId="7" fillId="0" fontId="9" numFmtId="0" xfId="0" applyAlignment="1" applyBorder="1" applyFont="1">
      <alignment horizontal="left" readingOrder="0" shrinkToFit="0" wrapText="1"/>
    </xf>
    <xf borderId="0" fillId="0" fontId="2" numFmtId="0" xfId="0" applyAlignment="1" applyFont="1">
      <alignment horizontal="left"/>
    </xf>
    <xf borderId="8" fillId="7" fontId="2" numFmtId="0" xfId="0" applyBorder="1" applyFill="1" applyFont="1"/>
    <xf borderId="0" fillId="3" fontId="10" numFmtId="0" xfId="0" applyAlignment="1" applyFill="1" applyFont="1">
      <alignment readingOrder="0"/>
    </xf>
    <xf borderId="0" fillId="0" fontId="3" numFmtId="0" xfId="0" applyFont="1"/>
    <xf borderId="5" fillId="0" fontId="3" numFmtId="0" xfId="0" applyAlignment="1" applyBorder="1" applyFont="1">
      <alignment readingOrder="0"/>
    </xf>
    <xf borderId="0" fillId="0" fontId="3" numFmtId="0" xfId="0" applyAlignment="1" applyFont="1">
      <alignment readingOrder="0"/>
    </xf>
    <xf borderId="0" fillId="3" fontId="11" numFmtId="0" xfId="0" applyAlignment="1" applyFill="1" applyFont="1">
      <alignment readingOrder="0"/>
    </xf>
    <xf borderId="0" fillId="8" fontId="3" numFmtId="0" xfId="0" applyFill="1" applyFont="1"/>
    <xf borderId="5" fillId="0" fontId="3" numFmtId="0" xfId="0" applyBorder="1" applyFont="1"/>
    <xf borderId="3" fillId="9" fontId="3" numFmtId="0" xfId="0" applyBorder="1" applyFill="1" applyFont="1"/>
    <xf borderId="9" fillId="5" fontId="2" numFmtId="0" xfId="0" applyAlignment="1" applyBorder="1" applyFill="1" applyFont="1">
      <alignment readingOrder="0"/>
    </xf>
    <xf borderId="10" fillId="0" fontId="2" numFmtId="0" xfId="0" applyAlignment="1" applyBorder="1" applyFont="1">
      <alignment readingOrder="0"/>
    </xf>
    <xf borderId="9" fillId="5" fontId="2" numFmtId="0" xfId="0" applyBorder="1" applyFill="1" applyFont="1"/>
    <xf borderId="11" fillId="0" fontId="2" numFmtId="0" xfId="0" applyAlignment="1" applyBorder="1" applyFont="1">
      <alignment readingOrder="0"/>
    </xf>
    <xf borderId="12" fillId="7" fontId="2" numFmtId="0" xfId="0" applyBorder="1" applyFill="1" applyFont="1"/>
    <xf borderId="0" fillId="0" fontId="5" numFmtId="9" xfId="0" applyAlignment="1" applyFont="1" applyNumberFormat="1">
      <alignment horizontal="left" readingOrder="0" shrinkToFit="0" wrapText="1"/>
    </xf>
    <xf borderId="11" fillId="9" fontId="3" numFmtId="0" xfId="0" applyBorder="1" applyFill="1" applyFont="1"/>
    <xf borderId="13" fillId="5" fontId="2" numFmtId="0" xfId="0" applyAlignment="1" applyBorder="1" applyFill="1" applyFont="1">
      <alignment readingOrder="0"/>
    </xf>
    <xf borderId="14" fillId="0" fontId="2" numFmtId="0" xfId="0" applyAlignment="1" applyBorder="1" applyFont="1">
      <alignment readingOrder="0"/>
    </xf>
    <xf borderId="0" fillId="10" fontId="2" numFmtId="0" xfId="0" applyFill="1" applyFont="1"/>
    <xf borderId="0" fillId="8" fontId="3" numFmtId="0" xfId="0" applyAlignment="1" applyFill="1" applyFont="1">
      <alignment readingOrder="0"/>
    </xf>
    <xf borderId="15" fillId="0" fontId="2" numFmtId="0" xfId="0" applyAlignment="1" applyBorder="1" applyFont="1">
      <alignment readingOrder="0"/>
    </xf>
    <xf borderId="7" fillId="0" fontId="5" numFmtId="164" xfId="0" applyAlignment="1" applyBorder="1" applyFont="1" applyNumberFormat="1">
      <alignment horizontal="left" readingOrder="0" shrinkToFit="0" wrapText="1"/>
    </xf>
    <xf borderId="16" fillId="5" fontId="2" numFmtId="0" xfId="0" applyAlignment="1" applyBorder="1" applyFill="1" applyFont="1">
      <alignment readingOrder="0"/>
    </xf>
    <xf borderId="17" fillId="0" fontId="2" numFmtId="0" xfId="0" applyAlignment="1" applyBorder="1" applyFont="1">
      <alignment readingOrder="0"/>
    </xf>
    <xf borderId="18" fillId="7" fontId="2" numFmtId="0" xfId="0" applyAlignment="1" applyBorder="1" applyFill="1" applyFont="1">
      <alignment readingOrder="0"/>
    </xf>
    <xf borderId="17" fillId="9" fontId="3" numFmtId="0" xfId="0" applyAlignment="1" applyBorder="1" applyFill="1" applyFont="1">
      <alignment readingOrder="0"/>
    </xf>
    <xf borderId="19" fillId="0" fontId="2" numFmtId="0" xfId="0" applyAlignment="1" applyBorder="1" applyFont="1">
      <alignment readingOrder="0"/>
    </xf>
    <xf borderId="0" fillId="10" fontId="2" numFmtId="0" xfId="0" applyAlignment="1" applyFill="1" applyFont="1">
      <alignment readingOrder="0"/>
    </xf>
    <xf borderId="20" fillId="0" fontId="2" numFmtId="0" xfId="0" applyAlignment="1" applyBorder="1" applyFont="1">
      <alignment readingOrder="0"/>
    </xf>
    <xf borderId="21" fillId="0" fontId="2" numFmtId="0" xfId="0" applyAlignment="1" applyBorder="1" applyFont="1">
      <alignment readingOrder="0"/>
    </xf>
    <xf borderId="22" fillId="7" fontId="2" numFmtId="0" xfId="0" applyAlignment="1" applyBorder="1" applyFill="1" applyFont="1">
      <alignment readingOrder="0"/>
    </xf>
    <xf borderId="21" fillId="9" fontId="3" numFmtId="0" xfId="0" applyAlignment="1" applyBorder="1" applyFill="1" applyFont="1">
      <alignment readingOrder="0"/>
    </xf>
    <xf borderId="19" fillId="3" fontId="2" numFmtId="0" xfId="0" applyAlignment="1" applyBorder="1" applyFill="1" applyFont="1">
      <alignment readingOrder="0"/>
    </xf>
    <xf borderId="13" fillId="0" fontId="2" numFmtId="0" xfId="0" applyBorder="1" applyFont="1"/>
    <xf borderId="14" fillId="3" fontId="2" numFmtId="0" xfId="0" applyAlignment="1" applyBorder="1" applyFill="1" applyFont="1">
      <alignment readingOrder="0"/>
    </xf>
    <xf borderId="16" fillId="5" fontId="2" numFmtId="0" xfId="0" applyBorder="1" applyFill="1" applyFont="1"/>
    <xf borderId="23" fillId="0" fontId="2" numFmtId="0" xfId="0" applyAlignment="1" applyBorder="1" applyFont="1">
      <alignment readingOrder="0"/>
    </xf>
    <xf borderId="24" fillId="3" fontId="2" numFmtId="0" xfId="0" applyAlignment="1" applyBorder="1" applyFill="1" applyFont="1">
      <alignment readingOrder="0"/>
    </xf>
    <xf borderId="16" fillId="10" fontId="2" numFmtId="0" xfId="0" applyBorder="1" applyFill="1" applyFont="1"/>
    <xf borderId="13" fillId="10" fontId="2" numFmtId="0" xfId="0" applyAlignment="1" applyBorder="1" applyFill="1" applyFont="1">
      <alignment readingOrder="0"/>
    </xf>
    <xf borderId="16" fillId="0" fontId="2" numFmtId="0" xfId="0" applyBorder="1" applyFont="1"/>
    <xf borderId="0" fillId="5" fontId="3" numFmtId="0" xfId="0" applyFill="1" applyFont="1"/>
    <xf borderId="0" fillId="5" fontId="2" numFmtId="0" xfId="0" applyFill="1" applyFont="1"/>
    <xf borderId="24" fillId="4" fontId="2" numFmtId="0" xfId="0" applyAlignment="1" applyBorder="1" applyFill="1" applyFont="1">
      <alignment readingOrder="0"/>
    </xf>
    <xf borderId="25" fillId="3" fontId="12" numFmtId="0" xfId="0" applyAlignment="1" applyBorder="1" applyFill="1" applyFont="1">
      <alignment readingOrder="0" shrinkToFit="0" vertical="bottom" wrapText="0"/>
    </xf>
    <xf borderId="26" fillId="0" fontId="2" numFmtId="0" xfId="0" applyBorder="1" applyFont="1"/>
    <xf borderId="27" fillId="0" fontId="12" numFmtId="0" xfId="0" applyAlignment="1" applyBorder="1" applyFont="1">
      <alignment readingOrder="0" shrinkToFit="0" vertical="bottom" wrapText="0"/>
    </xf>
    <xf borderId="0" fillId="0" fontId="5" numFmtId="164" xfId="0" applyAlignment="1" applyFont="1" applyNumberFormat="1">
      <alignment horizontal="left" readingOrder="0" shrinkToFit="0" wrapText="1"/>
    </xf>
    <xf borderId="28" fillId="0" fontId="2" numFmtId="0" xfId="0" applyBorder="1" applyFont="1"/>
    <xf borderId="29" fillId="3" fontId="12" numFmtId="0" xfId="0" applyAlignment="1" applyBorder="1" applyFill="1" applyFont="1">
      <alignment readingOrder="0" shrinkToFit="0" vertical="bottom" wrapText="0"/>
    </xf>
    <xf borderId="30" fillId="3" fontId="12" numFmtId="0" xfId="0" applyAlignment="1" applyBorder="1" applyFill="1" applyFont="1">
      <alignment readingOrder="0" shrinkToFit="0" vertical="bottom" wrapText="0"/>
    </xf>
    <xf borderId="29" fillId="0" fontId="12" numFmtId="0" xfId="0" applyAlignment="1" applyBorder="1" applyFont="1">
      <alignment readingOrder="0" shrinkToFit="0" vertical="bottom" wrapText="0"/>
    </xf>
    <xf borderId="0" fillId="0" fontId="12" numFmtId="0" xfId="0" applyAlignment="1" applyFont="1">
      <alignment shrinkToFit="0" vertical="bottom" wrapText="0"/>
    </xf>
    <xf borderId="13" fillId="10" fontId="12" numFmtId="0" xfId="0" applyAlignment="1" applyBorder="1" applyFill="1" applyFont="1">
      <alignment readingOrder="0" shrinkToFit="0" vertical="bottom" wrapText="0"/>
    </xf>
    <xf borderId="0" fillId="0" fontId="12" numFmtId="0" xfId="0" applyAlignment="1" applyFont="1">
      <alignment readingOrder="0" shrinkToFit="0" vertical="bottom" wrapText="0"/>
    </xf>
    <xf borderId="13" fillId="5" fontId="13" numFmtId="0" xfId="0" applyAlignment="1" applyBorder="1" applyFill="1" applyFont="1">
      <alignment readingOrder="0" shrinkToFit="0" vertical="bottom" wrapText="0"/>
    </xf>
    <xf borderId="31" fillId="0" fontId="12" numFmtId="0" xfId="0" applyAlignment="1" applyBorder="1" applyFont="1">
      <alignment readingOrder="0" shrinkToFit="0" vertical="bottom" wrapText="0"/>
    </xf>
    <xf borderId="12" fillId="11" fontId="12" numFmtId="0" xfId="0" applyAlignment="1" applyBorder="1" applyFill="1" applyFont="1">
      <alignment readingOrder="0" shrinkToFit="0" vertical="bottom" wrapText="0"/>
    </xf>
    <xf borderId="24" fillId="12" fontId="12" numFmtId="0" xfId="0" applyAlignment="1" applyBorder="1" applyFill="1" applyFont="1">
      <alignment readingOrder="0" shrinkToFit="0" vertical="bottom" wrapText="0"/>
    </xf>
    <xf borderId="24" fillId="0" fontId="12" numFmtId="0" xfId="0" applyAlignment="1" applyBorder="1" applyFont="1">
      <alignment readingOrder="0" shrinkToFit="0" vertical="bottom" wrapText="0"/>
    </xf>
    <xf borderId="13" fillId="0" fontId="12" numFmtId="0" xfId="0" applyAlignment="1" applyBorder="1" applyFont="1">
      <alignment shrinkToFit="0" vertical="bottom" wrapText="0"/>
    </xf>
    <xf borderId="0" fillId="10" fontId="12" numFmtId="0" xfId="0" applyAlignment="1" applyFill="1" applyFont="1">
      <alignment shrinkToFit="0" vertical="bottom" wrapText="0"/>
    </xf>
    <xf borderId="32" fillId="0" fontId="12" numFmtId="0" xfId="0" applyAlignment="1" applyBorder="1" applyFont="1">
      <alignment readingOrder="0" shrinkToFit="0" vertical="bottom" wrapText="0"/>
    </xf>
    <xf borderId="33" fillId="0" fontId="12" numFmtId="0" xfId="0" applyAlignment="1" applyBorder="1" applyFont="1">
      <alignment readingOrder="0" shrinkToFit="0" vertical="bottom" wrapText="0"/>
    </xf>
    <xf borderId="34" fillId="0" fontId="2" numFmtId="0" xfId="0" applyBorder="1" applyFont="1"/>
    <xf borderId="26" fillId="10" fontId="2" numFmtId="0" xfId="0" applyAlignment="1" applyBorder="1" applyFill="1" applyFont="1">
      <alignment readingOrder="0"/>
    </xf>
    <xf borderId="13" fillId="10" fontId="12" numFmtId="0" xfId="0" applyAlignment="1" applyBorder="1" applyFill="1" applyFont="1">
      <alignment shrinkToFit="0" vertical="bottom" wrapText="0"/>
    </xf>
    <xf borderId="13" fillId="5" fontId="12" numFmtId="0" xfId="0" applyAlignment="1" applyBorder="1" applyFill="1" applyFont="1">
      <alignment shrinkToFit="0" vertical="bottom" wrapText="0"/>
    </xf>
    <xf borderId="35" fillId="0" fontId="12" numFmtId="0" xfId="0" applyAlignment="1" applyBorder="1" applyFont="1">
      <alignment readingOrder="0" shrinkToFit="0" vertical="bottom" wrapText="0"/>
    </xf>
    <xf borderId="36" fillId="0" fontId="2" numFmtId="0" xfId="0" applyBorder="1" applyFont="1"/>
    <xf borderId="37" fillId="10" fontId="2" numFmtId="0" xfId="0" applyBorder="1" applyFill="1" applyFont="1"/>
    <xf borderId="13" fillId="10" fontId="2" numFmtId="0" xfId="0" applyBorder="1" applyFill="1" applyFont="1"/>
    <xf borderId="38" fillId="0" fontId="12" numFmtId="0" xfId="0" applyAlignment="1" applyBorder="1" applyFont="1">
      <alignment shrinkToFit="0" vertical="bottom" wrapText="0"/>
    </xf>
    <xf borderId="39" fillId="0" fontId="12" numFmtId="0" xfId="0" applyAlignment="1" applyBorder="1" applyFont="1">
      <alignment readingOrder="0" shrinkToFit="0" vertical="bottom" wrapText="0"/>
    </xf>
    <xf borderId="40" fillId="0" fontId="12" numFmtId="0" xfId="0" applyAlignment="1" applyBorder="1" applyFont="1">
      <alignment shrinkToFit="0" vertical="bottom" wrapText="0"/>
    </xf>
    <xf borderId="41" fillId="11" fontId="12" numFmtId="0" xfId="0" applyAlignment="1" applyBorder="1" applyFill="1" applyFont="1">
      <alignment readingOrder="0" shrinkToFit="0" vertical="bottom" wrapText="0"/>
    </xf>
    <xf borderId="13" fillId="0" fontId="12" numFmtId="0" xfId="0" applyAlignment="1" applyBorder="1" applyFont="1">
      <alignment readingOrder="0" shrinkToFit="0" vertical="bottom" wrapText="0"/>
    </xf>
    <xf borderId="40" fillId="5" fontId="12" numFmtId="0" xfId="0" applyAlignment="1" applyBorder="1" applyFill="1" applyFont="1">
      <alignment shrinkToFit="0" vertical="bottom" wrapText="0"/>
    </xf>
    <xf borderId="13" fillId="10" fontId="13" numFmtId="0" xfId="0" applyAlignment="1" applyBorder="1" applyFill="1" applyFont="1">
      <alignment readingOrder="0" shrinkToFit="0" vertical="bottom" wrapText="0"/>
    </xf>
    <xf borderId="42" fillId="0" fontId="12" numFmtId="0" xfId="0" applyAlignment="1" applyBorder="1" applyFont="1">
      <alignment readingOrder="0" shrinkToFit="0" vertical="bottom" wrapText="0"/>
    </xf>
    <xf borderId="43" fillId="0" fontId="12" numFmtId="0" xfId="0" applyAlignment="1" applyBorder="1" applyFont="1">
      <alignment readingOrder="0" shrinkToFit="0" vertical="bottom" wrapText="0"/>
    </xf>
    <xf borderId="0" fillId="5" fontId="12" numFmtId="0" xfId="0" applyAlignment="1" applyFill="1" applyFont="1">
      <alignment shrinkToFit="0" vertical="bottom" wrapText="0"/>
    </xf>
    <xf borderId="44" fillId="5" fontId="2" numFmtId="0" xfId="0" applyAlignment="1" applyBorder="1" applyFill="1" applyFont="1">
      <alignment readingOrder="0"/>
    </xf>
    <xf borderId="45" fillId="0" fontId="2" numFmtId="0" xfId="0" applyBorder="1" applyFont="1"/>
    <xf borderId="13" fillId="5" fontId="14" numFmtId="0" xfId="0" applyAlignment="1" applyBorder="1" applyFill="1" applyFont="1">
      <alignment shrinkToFit="0" vertical="bottom" wrapText="0"/>
    </xf>
    <xf borderId="41" fillId="0" fontId="12" numFmtId="0" xfId="0" applyAlignment="1" applyBorder="1" applyFont="1">
      <alignment readingOrder="0" shrinkToFit="0" vertical="bottom" wrapText="0"/>
    </xf>
    <xf borderId="16" fillId="0" fontId="12" numFmtId="0" xfId="0" applyAlignment="1" applyBorder="1" applyFont="1">
      <alignment shrinkToFit="0" vertical="bottom" wrapText="0"/>
    </xf>
    <xf borderId="46" fillId="0" fontId="12" numFmtId="0" xfId="0" applyAlignment="1" applyBorder="1" applyFont="1">
      <alignment readingOrder="0" shrinkToFit="0" vertical="bottom" wrapText="0"/>
    </xf>
    <xf borderId="15" fillId="0" fontId="12" numFmtId="0" xfId="0" applyAlignment="1" applyBorder="1" applyFont="1">
      <alignment readingOrder="0" shrinkToFit="0" vertical="bottom" wrapText="0"/>
    </xf>
    <xf borderId="16" fillId="5" fontId="12" numFmtId="0" xfId="0" applyAlignment="1" applyBorder="1" applyFill="1" applyFont="1">
      <alignment readingOrder="0" shrinkToFit="0" vertical="bottom" wrapText="0"/>
    </xf>
    <xf borderId="0" fillId="3" fontId="15" numFmtId="0" xfId="0" applyAlignment="1" applyFill="1" applyFont="1">
      <alignment readingOrder="0"/>
    </xf>
    <xf borderId="47" fillId="0" fontId="12" numFmtId="0" xfId="0" applyAlignment="1" applyBorder="1" applyFont="1">
      <alignment readingOrder="0" shrinkToFit="0" vertical="bottom" wrapText="0"/>
    </xf>
    <xf borderId="23" fillId="0" fontId="12" numFmtId="0" xfId="0" applyAlignment="1" applyBorder="1" applyFont="1">
      <alignment readingOrder="0" shrinkToFit="0" vertical="bottom" wrapText="0"/>
    </xf>
    <xf borderId="9" fillId="0" fontId="12" numFmtId="0" xfId="0" applyAlignment="1" applyBorder="1" applyFont="1">
      <alignment shrinkToFit="0" vertical="bottom" wrapText="0"/>
    </xf>
    <xf borderId="13" fillId="5" fontId="2" numFmtId="0" xfId="0" applyBorder="1" applyFill="1" applyFont="1"/>
    <xf borderId="48" fillId="0" fontId="12" numFmtId="0" xfId="0" applyAlignment="1" applyBorder="1" applyFont="1">
      <alignment readingOrder="0" shrinkToFit="0" vertical="bottom" wrapText="0"/>
    </xf>
    <xf borderId="8" fillId="0" fontId="12" numFmtId="0" xfId="0" applyAlignment="1" applyBorder="1" applyFont="1">
      <alignment shrinkToFit="0" vertical="bottom" wrapText="0"/>
    </xf>
    <xf borderId="49" fillId="0" fontId="12" numFmtId="0" xfId="0" applyAlignment="1" applyBorder="1" applyFont="1">
      <alignment readingOrder="0" shrinkToFit="0" vertical="bottom" wrapText="0"/>
    </xf>
    <xf borderId="16" fillId="0" fontId="12" numFmtId="0" xfId="0" applyAlignment="1" applyBorder="1" applyFont="1">
      <alignment readingOrder="0" shrinkToFit="0" vertical="bottom" wrapText="0"/>
    </xf>
    <xf borderId="50" fillId="0" fontId="12" numFmtId="0" xfId="0" applyAlignment="1" applyBorder="1" applyFont="1">
      <alignment readingOrder="0" shrinkToFit="0" vertical="bottom" wrapText="0"/>
    </xf>
    <xf borderId="7" fillId="0" fontId="12" numFmtId="0" xfId="0" applyAlignment="1" applyBorder="1" applyFont="1">
      <alignment readingOrder="0" shrinkToFit="0" vertical="bottom" wrapText="0"/>
    </xf>
    <xf borderId="48" fillId="0" fontId="13" numFmtId="0" xfId="0" applyAlignment="1" applyBorder="1" applyFont="1">
      <alignment readingOrder="0" shrinkToFit="0" vertical="bottom" wrapText="0"/>
    </xf>
    <xf borderId="16" fillId="10" fontId="12" numFmtId="0" xfId="0" applyAlignment="1" applyBorder="1" applyFill="1" applyFont="1">
      <alignment shrinkToFit="0" vertical="bottom" wrapText="0"/>
    </xf>
    <xf borderId="0" fillId="10" fontId="12" numFmtId="0" xfId="0" applyAlignment="1" applyFill="1" applyFont="1">
      <alignment readingOrder="0" shrinkToFit="0" vertical="bottom" wrapText="0"/>
    </xf>
    <xf borderId="25" fillId="0" fontId="13" numFmtId="0" xfId="0" applyAlignment="1" applyBorder="1" applyFont="1">
      <alignment readingOrder="0" shrinkToFit="0" vertical="bottom" wrapText="0"/>
    </xf>
    <xf borderId="44" fillId="0" fontId="2" numFmtId="0" xfId="0" applyBorder="1" applyFont="1"/>
    <xf borderId="19" fillId="0" fontId="12" numFmtId="0" xfId="0" applyAlignment="1" applyBorder="1" applyFont="1">
      <alignment readingOrder="0" shrinkToFit="0" vertical="bottom" wrapText="0"/>
    </xf>
    <xf borderId="25" fillId="0" fontId="12" numFmtId="0" xfId="0" applyAlignment="1" applyBorder="1" applyFont="1">
      <alignment readingOrder="0" shrinkToFit="0" vertical="bottom" wrapText="0"/>
    </xf>
    <xf borderId="51" fillId="0" fontId="12" numFmtId="0" xfId="0" applyAlignment="1" applyBorder="1" applyFont="1">
      <alignment readingOrder="0" shrinkToFit="0" vertical="bottom" wrapText="0"/>
    </xf>
    <xf borderId="52" fillId="0" fontId="12" numFmtId="0" xfId="0" applyAlignment="1" applyBorder="1" applyFont="1">
      <alignment shrinkToFit="0" vertical="bottom" wrapText="0"/>
    </xf>
    <xf borderId="30" fillId="0" fontId="12" numFmtId="0" xfId="0" applyAlignment="1" applyBorder="1" applyFont="1">
      <alignment readingOrder="0" shrinkToFit="0" vertical="bottom" wrapText="0"/>
    </xf>
    <xf borderId="38" fillId="0" fontId="2" numFmtId="0" xfId="0" applyBorder="1" applyFont="1"/>
    <xf borderId="26" fillId="0" fontId="12" numFmtId="0" xfId="0" applyAlignment="1" applyBorder="1" applyFont="1">
      <alignment readingOrder="0" shrinkToFit="0" vertical="bottom" wrapText="0"/>
    </xf>
    <xf borderId="20" fillId="3" fontId="2" numFmtId="0" xfId="0" applyAlignment="1" applyBorder="1" applyFill="1" applyFont="1">
      <alignment readingOrder="0"/>
    </xf>
    <xf borderId="9" fillId="0" fontId="2" numFmtId="0" xfId="0" applyBorder="1" applyFont="1"/>
    <xf borderId="53" fillId="0" fontId="3" numFmtId="0" xfId="0" applyBorder="1" applyFont="1"/>
    <xf borderId="12" fillId="0" fontId="3" numFmtId="0" xfId="0" applyBorder="1" applyFont="1"/>
    <xf borderId="12" fillId="0" fontId="5" numFmtId="0" xfId="0" applyAlignment="1" applyBorder="1" applyFont="1">
      <alignment horizontal="left" readingOrder="0" shrinkToFit="0" wrapText="1"/>
    </xf>
    <xf borderId="12" fillId="3" fontId="16" numFmtId="0" xfId="0" applyAlignment="1" applyBorder="1" applyFill="1" applyFont="1">
      <alignment readingOrder="0"/>
    </xf>
    <xf borderId="53" fillId="0" fontId="2" numFmtId="0" xfId="0" applyBorder="1" applyFont="1"/>
    <xf borderId="12" fillId="0" fontId="2" numFmtId="0" xfId="0" applyBorder="1" applyFont="1"/>
    <xf borderId="12" fillId="0" fontId="17" numFmtId="0" xfId="0" applyAlignment="1" applyBorder="1" applyFont="1">
      <alignment horizontal="left" readingOrder="0" shrinkToFit="0" wrapText="1"/>
    </xf>
    <xf borderId="54" fillId="0" fontId="2" numFmtId="0" xfId="0" applyAlignment="1" applyBorder="1" applyFont="1">
      <alignment readingOrder="0"/>
    </xf>
    <xf borderId="12" fillId="0" fontId="5" numFmtId="9" xfId="0" applyAlignment="1" applyBorder="1" applyFont="1" applyNumberFormat="1">
      <alignment horizontal="left" readingOrder="0" shrinkToFit="0" wrapText="1"/>
    </xf>
    <xf borderId="7" fillId="7" fontId="2" numFmtId="0" xfId="0" applyBorder="1" applyFill="1" applyFont="1"/>
    <xf borderId="55" fillId="0" fontId="3" numFmtId="0" xfId="0" applyBorder="1" applyFont="1"/>
    <xf borderId="8" fillId="0" fontId="3" numFmtId="0" xfId="0" applyBorder="1" applyFont="1"/>
    <xf borderId="8" fillId="0" fontId="5" numFmtId="0" xfId="0" applyAlignment="1" applyBorder="1" applyFont="1">
      <alignment horizontal="left" readingOrder="0" shrinkToFit="0" wrapText="1"/>
    </xf>
    <xf borderId="54" fillId="9" fontId="3" numFmtId="0" xfId="0" applyBorder="1" applyFill="1" applyFont="1"/>
    <xf borderId="8" fillId="3" fontId="18" numFmtId="0" xfId="0" applyAlignment="1" applyBorder="1" applyFill="1" applyFont="1">
      <alignment readingOrder="0"/>
    </xf>
    <xf borderId="55" fillId="0" fontId="2" numFmtId="0" xfId="0" applyBorder="1" applyFont="1"/>
    <xf borderId="8" fillId="0" fontId="2" numFmtId="0" xfId="0" applyBorder="1" applyFont="1"/>
    <xf borderId="8" fillId="0" fontId="19" numFmtId="0" xfId="0" applyAlignment="1" applyBorder="1" applyFont="1">
      <alignment horizontal="left" readingOrder="0" shrinkToFit="0" wrapText="1"/>
    </xf>
    <xf borderId="8" fillId="0" fontId="5" numFmtId="164" xfId="0" applyAlignment="1" applyBorder="1" applyFont="1" applyNumberFormat="1">
      <alignment horizontal="left" readingOrder="0" shrinkToFit="0" wrapText="1"/>
    </xf>
    <xf borderId="56" fillId="0" fontId="3" numFmtId="0" xfId="0" applyBorder="1" applyFont="1"/>
    <xf borderId="57" fillId="0" fontId="3" numFmtId="0" xfId="0" applyBorder="1" applyFont="1"/>
    <xf borderId="57" fillId="0" fontId="5" numFmtId="0" xfId="0" applyAlignment="1" applyBorder="1" applyFont="1">
      <alignment horizontal="left" readingOrder="0" shrinkToFit="0" wrapText="1"/>
    </xf>
    <xf borderId="57" fillId="3" fontId="20" numFmtId="0" xfId="0" applyAlignment="1" applyBorder="1" applyFill="1" applyFont="1">
      <alignment readingOrder="0"/>
    </xf>
    <xf borderId="0" fillId="0" fontId="21" numFmtId="0" xfId="0" applyAlignment="1" applyFont="1">
      <alignment horizontal="center" readingOrder="0"/>
    </xf>
    <xf borderId="0" fillId="0" fontId="2" numFmtId="11" xfId="0" applyAlignment="1" applyFont="1" applyNumberFormat="1">
      <alignment readingOrder="0"/>
    </xf>
    <xf borderId="12" fillId="0" fontId="5" numFmtId="164" xfId="0" applyAlignment="1" applyBorder="1" applyFont="1" applyNumberFormat="1">
      <alignment horizontal="left" readingOrder="0" shrinkToFit="0" wrapText="1"/>
    </xf>
    <xf borderId="0" fillId="3"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maps.app.goo.gl/m31pmjH2XDnSJZSb6" TargetMode="External"/><Relationship Id="rId10" Type="http://schemas.openxmlformats.org/officeDocument/2006/relationships/hyperlink" Target="https://maps.app.goo.gl/igXf9VWfH3BTznhc6" TargetMode="External"/><Relationship Id="rId13" Type="http://schemas.openxmlformats.org/officeDocument/2006/relationships/hyperlink" Target="https://maps.app.goo.gl/Mobp3XMByYG36MHj9" TargetMode="External"/><Relationship Id="rId12" Type="http://schemas.openxmlformats.org/officeDocument/2006/relationships/hyperlink" Target="https://maps.app.goo.gl/RFAfzhiR8oCzrXiTA" TargetMode="External"/><Relationship Id="rId1" Type="http://schemas.openxmlformats.org/officeDocument/2006/relationships/hyperlink" Target="https://maps.app.goo.gl/kVB3goNSAgXQ31739" TargetMode="External"/><Relationship Id="rId2" Type="http://schemas.openxmlformats.org/officeDocument/2006/relationships/hyperlink" Target="https://maps.app.goo.gl/LYvssTZAPUXHx8Ea8" TargetMode="External"/><Relationship Id="rId3" Type="http://schemas.openxmlformats.org/officeDocument/2006/relationships/hyperlink" Target="https://maps.app.goo.gl/fR1TWnUbruUZWhRh6" TargetMode="External"/><Relationship Id="rId4" Type="http://schemas.openxmlformats.org/officeDocument/2006/relationships/hyperlink" Target="https://maps.app.goo.gl/xbrfy1pE5QBydykdA" TargetMode="External"/><Relationship Id="rId9" Type="http://schemas.openxmlformats.org/officeDocument/2006/relationships/hyperlink" Target="https://maps.app.goo.gl/RMojiMUV2PBHRE3LA" TargetMode="External"/><Relationship Id="rId15" Type="http://schemas.openxmlformats.org/officeDocument/2006/relationships/hyperlink" Target="https://maps.app.goo.gl/ogd6nKw3KJWiu9d39" TargetMode="External"/><Relationship Id="rId14" Type="http://schemas.openxmlformats.org/officeDocument/2006/relationships/hyperlink" Target="https://maps.app.goo.gl/Mm93PHFeirV6oyRf8" TargetMode="External"/><Relationship Id="rId17" Type="http://schemas.openxmlformats.org/officeDocument/2006/relationships/hyperlink" Target="https://maps.app.goo.gl/wxJdzDibZhNkTi1W8" TargetMode="External"/><Relationship Id="rId16" Type="http://schemas.openxmlformats.org/officeDocument/2006/relationships/hyperlink" Target="https://maps.app.goo.gl/HQZQyyYQHtMyu6fEA" TargetMode="External"/><Relationship Id="rId5" Type="http://schemas.openxmlformats.org/officeDocument/2006/relationships/hyperlink" Target="https://maps.app.goo.gl/agXUshW7SPJky4qS6" TargetMode="External"/><Relationship Id="rId6" Type="http://schemas.openxmlformats.org/officeDocument/2006/relationships/hyperlink" Target="https://maps.app.goo.gl/XcTwydtFzFg3ptNE9" TargetMode="External"/><Relationship Id="rId18" Type="http://schemas.openxmlformats.org/officeDocument/2006/relationships/drawing" Target="../drawings/drawing2.xml"/><Relationship Id="rId7" Type="http://schemas.openxmlformats.org/officeDocument/2006/relationships/hyperlink" Target="https://maps.app.goo.gl/9rfSV6yXmmxsjBfUA" TargetMode="External"/><Relationship Id="rId8" Type="http://schemas.openxmlformats.org/officeDocument/2006/relationships/hyperlink" Target="https://maps.app.goo.gl/ugWGzw2vJVst6DBY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maps.app.goo.gl/kRRiGGTAnJu9zfMP6" TargetMode="External"/><Relationship Id="rId42" Type="http://schemas.openxmlformats.org/officeDocument/2006/relationships/hyperlink" Target="https://maps.app.goo.gl/NNuUPg1PAzWgAkyA9" TargetMode="External"/><Relationship Id="rId41" Type="http://schemas.openxmlformats.org/officeDocument/2006/relationships/hyperlink" Target="https://maps.app.goo.gl/KHGrkEUnA5Ab1Txw5" TargetMode="External"/><Relationship Id="rId44" Type="http://schemas.openxmlformats.org/officeDocument/2006/relationships/hyperlink" Target="https://maps.app.goo.gl/MtBknHkQ4wZf72p8A" TargetMode="External"/><Relationship Id="rId43" Type="http://schemas.openxmlformats.org/officeDocument/2006/relationships/hyperlink" Target="https://maps.app.goo.gl/TNiJv5Aktttk36L36" TargetMode="External"/><Relationship Id="rId46" Type="http://schemas.openxmlformats.org/officeDocument/2006/relationships/hyperlink" Target="https://maps.app.goo.gl/VCwTNAkxSoYsuoi3A" TargetMode="External"/><Relationship Id="rId45" Type="http://schemas.openxmlformats.org/officeDocument/2006/relationships/hyperlink" Target="https://maps.app.goo.gl/1BKArFnVDiZ3YYff6" TargetMode="External"/><Relationship Id="rId1" Type="http://schemas.openxmlformats.org/officeDocument/2006/relationships/hyperlink" Target="https://maps.app.goo.gl/QhPsWfEwFt69DkBe7" TargetMode="External"/><Relationship Id="rId2" Type="http://schemas.openxmlformats.org/officeDocument/2006/relationships/hyperlink" Target="https://maps.app.goo.gl/kxg63b477qjBd5XK6" TargetMode="External"/><Relationship Id="rId3" Type="http://schemas.openxmlformats.org/officeDocument/2006/relationships/hyperlink" Target="https://maps.app.goo.gl/xbrfy1pE5QBydykdA" TargetMode="External"/><Relationship Id="rId4" Type="http://schemas.openxmlformats.org/officeDocument/2006/relationships/hyperlink" Target="https://maps.app.goo.gl/LYvssTZAPUXHx8Ea8" TargetMode="External"/><Relationship Id="rId9" Type="http://schemas.openxmlformats.org/officeDocument/2006/relationships/hyperlink" Target="https://maps.app.goo.gl/Mobp3XMByYG36MHj9" TargetMode="External"/><Relationship Id="rId48" Type="http://schemas.openxmlformats.org/officeDocument/2006/relationships/hyperlink" Target="https://maps.app.goo.gl/kVB3goNSAgXQ31739" TargetMode="External"/><Relationship Id="rId47" Type="http://schemas.openxmlformats.org/officeDocument/2006/relationships/hyperlink" Target="https://maps.app.goo.gl/29Hi8pwt78BmDsdP6" TargetMode="External"/><Relationship Id="rId49" Type="http://schemas.openxmlformats.org/officeDocument/2006/relationships/hyperlink" Target="https://maps.app.goo.gl/9rfSV6yXmmxsjBfUA" TargetMode="External"/><Relationship Id="rId5" Type="http://schemas.openxmlformats.org/officeDocument/2006/relationships/hyperlink" Target="https://maps.app.goo.gl/wxJdzDibZhNkTi1W8" TargetMode="External"/><Relationship Id="rId6" Type="http://schemas.openxmlformats.org/officeDocument/2006/relationships/hyperlink" Target="https://maps.app.goo.gl/3Xu8MPzjgBj9uhcw9" TargetMode="External"/><Relationship Id="rId7" Type="http://schemas.openxmlformats.org/officeDocument/2006/relationships/hyperlink" Target="https://maps.app.goo.gl/JUj8SrxroLSaiKjy8" TargetMode="External"/><Relationship Id="rId8" Type="http://schemas.openxmlformats.org/officeDocument/2006/relationships/hyperlink" Target="https://maps.app.goo.gl/ky5EhGg66sbW51fh9" TargetMode="External"/><Relationship Id="rId31" Type="http://schemas.openxmlformats.org/officeDocument/2006/relationships/hyperlink" Target="https://maps.app.goo.gl/RiZ1umXgh5THavJf8" TargetMode="External"/><Relationship Id="rId30" Type="http://schemas.openxmlformats.org/officeDocument/2006/relationships/hyperlink" Target="https://maps.app.goo.gl/j5x8bp4qDuWYuEP89" TargetMode="External"/><Relationship Id="rId33" Type="http://schemas.openxmlformats.org/officeDocument/2006/relationships/hyperlink" Target="https://maps.app.goo.gl/ZQFp5TfmAGt48CHLA" TargetMode="External"/><Relationship Id="rId32" Type="http://schemas.openxmlformats.org/officeDocument/2006/relationships/hyperlink" Target="https://maps.app.goo.gl/YxB1pG7R87Fn8H559" TargetMode="External"/><Relationship Id="rId35" Type="http://schemas.openxmlformats.org/officeDocument/2006/relationships/hyperlink" Target="https://maps.app.goo.gl/HXnzUXFUGRbVYCob8" TargetMode="External"/><Relationship Id="rId34" Type="http://schemas.openxmlformats.org/officeDocument/2006/relationships/hyperlink" Target="https://maps.app.goo.gl/Mm93PHFeirV6oyRf8" TargetMode="External"/><Relationship Id="rId37" Type="http://schemas.openxmlformats.org/officeDocument/2006/relationships/hyperlink" Target="https://maps.app.goo.gl/Qu7YJqQvf1GR16TX6" TargetMode="External"/><Relationship Id="rId36" Type="http://schemas.openxmlformats.org/officeDocument/2006/relationships/hyperlink" Target="https://maps.app.goo.gl/S7Nr7XAowvCoAdpJA" TargetMode="External"/><Relationship Id="rId39" Type="http://schemas.openxmlformats.org/officeDocument/2006/relationships/hyperlink" Target="https://maps.app.goo.gl/ioHTesyKBet6naFNA" TargetMode="External"/><Relationship Id="rId38" Type="http://schemas.openxmlformats.org/officeDocument/2006/relationships/hyperlink" Target="https://maps.app.goo.gl/DuBT3zRiZDYZHJZB6" TargetMode="External"/><Relationship Id="rId62" Type="http://schemas.openxmlformats.org/officeDocument/2006/relationships/hyperlink" Target="https://maps.app.goo.gl/XcTwydtFzFg3ptNE9" TargetMode="External"/><Relationship Id="rId61" Type="http://schemas.openxmlformats.org/officeDocument/2006/relationships/hyperlink" Target="https://maps.app.goo.gl/vPBWHZ5uuH4jrcVx5" TargetMode="External"/><Relationship Id="rId20" Type="http://schemas.openxmlformats.org/officeDocument/2006/relationships/hyperlink" Target="https://maps.app.goo.gl/rnYgkrYTyab2icJK9" TargetMode="External"/><Relationship Id="rId64" Type="http://schemas.openxmlformats.org/officeDocument/2006/relationships/hyperlink" Target="https://maps.app.goo.gl/RS8MJw5CLv8akG2P7" TargetMode="External"/><Relationship Id="rId63" Type="http://schemas.openxmlformats.org/officeDocument/2006/relationships/hyperlink" Target="https://maps.app.goo.gl/X4YMGfjo8fDqWpow6" TargetMode="External"/><Relationship Id="rId22" Type="http://schemas.openxmlformats.org/officeDocument/2006/relationships/hyperlink" Target="https://maps.app.goo.gl/ugWGzw2vJVst6DBY6" TargetMode="External"/><Relationship Id="rId66" Type="http://schemas.openxmlformats.org/officeDocument/2006/relationships/hyperlink" Target="https://maps.app.goo.gl/k71eSW9zCuZJj4tP9" TargetMode="External"/><Relationship Id="rId21" Type="http://schemas.openxmlformats.org/officeDocument/2006/relationships/hyperlink" Target="https://maps.app.goo.gl/8wAECEvvedxah8LL9" TargetMode="External"/><Relationship Id="rId65" Type="http://schemas.openxmlformats.org/officeDocument/2006/relationships/hyperlink" Target="https://maps.app.goo.gl/ME2hmyoraBDcgP1h8" TargetMode="External"/><Relationship Id="rId24" Type="http://schemas.openxmlformats.org/officeDocument/2006/relationships/hyperlink" Target="https://maps.app.goo.gl/kjxCuT5ddeBwHsDx6" TargetMode="External"/><Relationship Id="rId68" Type="http://schemas.openxmlformats.org/officeDocument/2006/relationships/drawing" Target="../drawings/drawing3.xml"/><Relationship Id="rId23" Type="http://schemas.openxmlformats.org/officeDocument/2006/relationships/hyperlink" Target="https://maps.app.goo.gl/Y5P4p3vfKYvFPnuq5" TargetMode="External"/><Relationship Id="rId67" Type="http://schemas.openxmlformats.org/officeDocument/2006/relationships/hyperlink" Target="https://maps.app.goo.gl/eSdcmNkSAtsqW82o7" TargetMode="External"/><Relationship Id="rId60" Type="http://schemas.openxmlformats.org/officeDocument/2006/relationships/hyperlink" Target="https://maps.app.goo.gl/igXf9VWfH3BTznhc6" TargetMode="External"/><Relationship Id="rId26" Type="http://schemas.openxmlformats.org/officeDocument/2006/relationships/hyperlink" Target="https://maps.app.goo.gl/RMojiMUV2PBHRE3LA" TargetMode="External"/><Relationship Id="rId25" Type="http://schemas.openxmlformats.org/officeDocument/2006/relationships/hyperlink" Target="https://maps.app.goo.gl/gMuk1RVUC4ZDUKbVA" TargetMode="External"/><Relationship Id="rId28" Type="http://schemas.openxmlformats.org/officeDocument/2006/relationships/hyperlink" Target="https://maps.app.goo.gl/ogd6nKw3KJWiu9d39" TargetMode="External"/><Relationship Id="rId27" Type="http://schemas.openxmlformats.org/officeDocument/2006/relationships/hyperlink" Target="https://maps.app.goo.gl/8bGaY6NWGhLAK48U6" TargetMode="External"/><Relationship Id="rId29" Type="http://schemas.openxmlformats.org/officeDocument/2006/relationships/hyperlink" Target="https://maps.app.goo.gl/tNptMj9kaVwiUpPu6" TargetMode="External"/><Relationship Id="rId51" Type="http://schemas.openxmlformats.org/officeDocument/2006/relationships/hyperlink" Target="https://maps.app.goo.gl/JJhcroDG8XEUSq1z9" TargetMode="External"/><Relationship Id="rId50" Type="http://schemas.openxmlformats.org/officeDocument/2006/relationships/hyperlink" Target="https://maps.app.goo.gl/agXUshW7SPJky4qS6" TargetMode="External"/><Relationship Id="rId53" Type="http://schemas.openxmlformats.org/officeDocument/2006/relationships/hyperlink" Target="https://maps.app.goo.gl/hW6vbpyJFEkcV7T69" TargetMode="External"/><Relationship Id="rId52" Type="http://schemas.openxmlformats.org/officeDocument/2006/relationships/hyperlink" Target="https://maps.app.goo.gl/GHwjgXgmUUzUERKr6" TargetMode="External"/><Relationship Id="rId11" Type="http://schemas.openxmlformats.org/officeDocument/2006/relationships/hyperlink" Target="https://maps.app.goo.gl/eVZjAJMoJTMzTKHA9" TargetMode="External"/><Relationship Id="rId55" Type="http://schemas.openxmlformats.org/officeDocument/2006/relationships/hyperlink" Target="https://maps.app.goo.gl/9pq5dZpFJytipmX8A" TargetMode="External"/><Relationship Id="rId10" Type="http://schemas.openxmlformats.org/officeDocument/2006/relationships/hyperlink" Target="https://maps.app.goo.gl/HAVFiZVP5AEu23n5A" TargetMode="External"/><Relationship Id="rId54" Type="http://schemas.openxmlformats.org/officeDocument/2006/relationships/hyperlink" Target="https://maps.app.goo.gl/GVCTfRD9ypcaYZCc7" TargetMode="External"/><Relationship Id="rId13" Type="http://schemas.openxmlformats.org/officeDocument/2006/relationships/hyperlink" Target="https://maps.app.goo.gl/njuo4apG5s61eNxt8" TargetMode="External"/><Relationship Id="rId57" Type="http://schemas.openxmlformats.org/officeDocument/2006/relationships/hyperlink" Target="https://maps.app.goo.gl/uvUP755XAjuTCgHq6" TargetMode="External"/><Relationship Id="rId12" Type="http://schemas.openxmlformats.org/officeDocument/2006/relationships/hyperlink" Target="https://maps.app.goo.gl/GAuqvWxExHHmrL1g6" TargetMode="External"/><Relationship Id="rId56" Type="http://schemas.openxmlformats.org/officeDocument/2006/relationships/hyperlink" Target="https://maps.app.goo.gl/4cK16LS8wxWoXhE19" TargetMode="External"/><Relationship Id="rId15" Type="http://schemas.openxmlformats.org/officeDocument/2006/relationships/hyperlink" Target="https://maps.app.goo.gl/RFAfzhiR8oCzrXiTA" TargetMode="External"/><Relationship Id="rId59" Type="http://schemas.openxmlformats.org/officeDocument/2006/relationships/hyperlink" Target="https://maps.app.goo.gl/NE1K6EULLaLDVowD9" TargetMode="External"/><Relationship Id="rId14" Type="http://schemas.openxmlformats.org/officeDocument/2006/relationships/hyperlink" Target="https://maps.app.goo.gl/p2EQNUVJDJssoJns7" TargetMode="External"/><Relationship Id="rId58" Type="http://schemas.openxmlformats.org/officeDocument/2006/relationships/hyperlink" Target="https://maps.app.goo.gl/m31pmjH2XDnSJZSb6" TargetMode="External"/><Relationship Id="rId17" Type="http://schemas.openxmlformats.org/officeDocument/2006/relationships/hyperlink" Target="https://maps.app.goo.gl/fR1TWnUbruUZWhRh6" TargetMode="External"/><Relationship Id="rId16" Type="http://schemas.openxmlformats.org/officeDocument/2006/relationships/hyperlink" Target="https://maps.app.goo.gl/FwthZ6fuokMTAS5W8" TargetMode="External"/><Relationship Id="rId19" Type="http://schemas.openxmlformats.org/officeDocument/2006/relationships/hyperlink" Target="https://maps.app.goo.gl/DU5nw1y1YbhbggaC6" TargetMode="External"/><Relationship Id="rId18" Type="http://schemas.openxmlformats.org/officeDocument/2006/relationships/hyperlink" Target="https://maps.app.goo.gl/HQZQyyYQHtMyu6fE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ordleunlimited.org/" TargetMode="External"/><Relationship Id="rId2" Type="http://schemas.openxmlformats.org/officeDocument/2006/relationships/hyperlink" Target="https://www.wordle.lol/unlimited" TargetMode="External"/><Relationship Id="rId3" Type="http://schemas.openxmlformats.org/officeDocument/2006/relationships/hyperlink" Target="https://fibble.xyz/" TargetMode="External"/><Relationship Id="rId4" Type="http://schemas.openxmlformats.org/officeDocument/2006/relationships/hyperlink" Target="https://globleunlimited.com/" TargetMode="External"/><Relationship Id="rId9" Type="http://schemas.openxmlformats.org/officeDocument/2006/relationships/hyperlink" Target="https://maps.app.goo.gl/ZQFp5TfmAGt48CHLA" TargetMode="External"/><Relationship Id="rId5" Type="http://schemas.openxmlformats.org/officeDocument/2006/relationships/hyperlink" Target="https://chartle.cc/" TargetMode="External"/><Relationship Id="rId6" Type="http://schemas.openxmlformats.org/officeDocument/2006/relationships/hyperlink" Target="https://linxicon.com/game/practice" TargetMode="External"/><Relationship Id="rId7" Type="http://schemas.openxmlformats.org/officeDocument/2006/relationships/hyperlink" Target="https://craftconnections.net/archive" TargetMode="External"/><Relationship Id="rId8" Type="http://schemas.openxmlformats.org/officeDocument/2006/relationships/hyperlink" Target="https://play-charades.com/" TargetMode="External"/><Relationship Id="rId31" Type="http://schemas.openxmlformats.org/officeDocument/2006/relationships/hyperlink" Target="https://www.hangmanwords.com/play/hard-words" TargetMode="External"/><Relationship Id="rId30" Type="http://schemas.openxmlformats.org/officeDocument/2006/relationships/hyperlink" Target="https://maps.app.goo.gl/RFAfzhiR8oCzrXiTA" TargetMode="External"/><Relationship Id="rId33" Type="http://schemas.openxmlformats.org/officeDocument/2006/relationships/hyperlink" Target="https://maps.app.goo.gl/Mm93PHFeirV6oyRf8" TargetMode="External"/><Relationship Id="rId32" Type="http://schemas.openxmlformats.org/officeDocument/2006/relationships/hyperlink" Target="https://maps.app.goo.gl/Mobp3XMByYG36MHj9" TargetMode="External"/><Relationship Id="rId35" Type="http://schemas.openxmlformats.org/officeDocument/2006/relationships/hyperlink" Target="https://maps.app.goo.gl/HQZQyyYQHtMyu6fEA" TargetMode="External"/><Relationship Id="rId34" Type="http://schemas.openxmlformats.org/officeDocument/2006/relationships/hyperlink" Target="https://maps.app.goo.gl/ogd6nKw3KJWiu9d39" TargetMode="External"/><Relationship Id="rId37" Type="http://schemas.openxmlformats.org/officeDocument/2006/relationships/hyperlink" Target="https://randomwordgenerator.com/sentence.php" TargetMode="External"/><Relationship Id="rId36" Type="http://schemas.openxmlformats.org/officeDocument/2006/relationships/hyperlink" Target="https://maps.app.goo.gl/wxJdzDibZhNkTi1W8" TargetMode="External"/><Relationship Id="rId38" Type="http://schemas.openxmlformats.org/officeDocument/2006/relationships/drawing" Target="../drawings/drawing4.xml"/><Relationship Id="rId20" Type="http://schemas.openxmlformats.org/officeDocument/2006/relationships/hyperlink" Target="https://maps.app.goo.gl/LYvssTZAPUXHx8Ea8" TargetMode="External"/><Relationship Id="rId22" Type="http://schemas.openxmlformats.org/officeDocument/2006/relationships/hyperlink" Target="https://maps.app.goo.gl/xbrfy1pE5QBydykdA" TargetMode="External"/><Relationship Id="rId21" Type="http://schemas.openxmlformats.org/officeDocument/2006/relationships/hyperlink" Target="https://maps.app.goo.gl/fR1TWnUbruUZWhRh6" TargetMode="External"/><Relationship Id="rId24" Type="http://schemas.openxmlformats.org/officeDocument/2006/relationships/hyperlink" Target="https://maps.app.goo.gl/XcTwydtFzFg3ptNE9" TargetMode="External"/><Relationship Id="rId23" Type="http://schemas.openxmlformats.org/officeDocument/2006/relationships/hyperlink" Target="https://maps.app.goo.gl/agXUshW7SPJky4qS6" TargetMode="External"/><Relationship Id="rId26" Type="http://schemas.openxmlformats.org/officeDocument/2006/relationships/hyperlink" Target="https://maps.app.goo.gl/ugWGzw2vJVst6DBY6" TargetMode="External"/><Relationship Id="rId25" Type="http://schemas.openxmlformats.org/officeDocument/2006/relationships/hyperlink" Target="https://maps.app.goo.gl/9rfSV6yXmmxsjBfUA" TargetMode="External"/><Relationship Id="rId28" Type="http://schemas.openxmlformats.org/officeDocument/2006/relationships/hyperlink" Target="https://maps.app.goo.gl/igXf9VWfH3BTznhc6" TargetMode="External"/><Relationship Id="rId27" Type="http://schemas.openxmlformats.org/officeDocument/2006/relationships/hyperlink" Target="https://maps.app.goo.gl/RMojiMUV2PBHRE3LA" TargetMode="External"/><Relationship Id="rId29" Type="http://schemas.openxmlformats.org/officeDocument/2006/relationships/hyperlink" Target="https://maps.app.goo.gl/m31pmjH2XDnSJZSb6" TargetMode="External"/><Relationship Id="rId11" Type="http://schemas.openxmlformats.org/officeDocument/2006/relationships/hyperlink" Target="https://maps.app.goo.gl/S7Nr7XAowvCoAdpJA" TargetMode="External"/><Relationship Id="rId10" Type="http://schemas.openxmlformats.org/officeDocument/2006/relationships/hyperlink" Target="https://play-charades.com/" TargetMode="External"/><Relationship Id="rId13" Type="http://schemas.openxmlformats.org/officeDocument/2006/relationships/hyperlink" Target="https://maps.app.goo.gl/Qu7YJqQvf1GR16TX6" TargetMode="External"/><Relationship Id="rId12" Type="http://schemas.openxmlformats.org/officeDocument/2006/relationships/hyperlink" Target="https://play-charades.com/" TargetMode="External"/><Relationship Id="rId15" Type="http://schemas.openxmlformats.org/officeDocument/2006/relationships/hyperlink" Target="https://maps.app.goo.gl/DuBT3zRiZDYZHJZB6" TargetMode="External"/><Relationship Id="rId14" Type="http://schemas.openxmlformats.org/officeDocument/2006/relationships/hyperlink" Target="https://wavelengthgame.app/topics" TargetMode="External"/><Relationship Id="rId17" Type="http://schemas.openxmlformats.org/officeDocument/2006/relationships/hyperlink" Target="https://randomwordgenerator.com/pictionary.php" TargetMode="External"/><Relationship Id="rId16" Type="http://schemas.openxmlformats.org/officeDocument/2006/relationships/hyperlink" Target="https://maps.app.goo.gl/bHkUgFeqUgE6rGqr8" TargetMode="External"/><Relationship Id="rId19" Type="http://schemas.openxmlformats.org/officeDocument/2006/relationships/hyperlink" Target="https://www.jetpunk.com/daily-trivia/all" TargetMode="External"/><Relationship Id="rId18" Type="http://schemas.openxmlformats.org/officeDocument/2006/relationships/hyperlink" Target="https://maps.app.goo.gl/kVB3goNSAgXQ3173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0.38"/>
    <col customWidth="1" min="8" max="8" width="23.25"/>
    <col customWidth="1" min="9" max="9" width="14.0"/>
    <col customWidth="1" min="10" max="10" width="22.5"/>
    <col customWidth="1" min="11" max="11" width="19.25"/>
    <col customWidth="1" min="13" max="13" width="16.38"/>
    <col customWidth="1" min="14" max="14" width="16.25"/>
    <col customWidth="1" min="15" max="15" width="21.38"/>
    <col customWidth="1" min="16" max="16" width="23.0"/>
    <col customWidth="1" min="17" max="17" width="21.25"/>
    <col customWidth="1" min="18" max="18" width="19.63"/>
    <col customWidth="1" min="19" max="19" width="15.5"/>
    <col customWidth="1" min="20" max="20" width="19.88"/>
    <col customWidth="1" min="21" max="21" width="19.38"/>
    <col customWidth="1" min="22" max="22" width="17.75"/>
    <col customWidth="1" min="23" max="23" width="17.38"/>
  </cols>
  <sheetData>
    <row r="2">
      <c r="B2" s="2"/>
      <c r="C2" s="4" t="s">
        <v>4</v>
      </c>
      <c r="D2" s="6" t="s">
        <v>9</v>
      </c>
      <c r="N2" s="7"/>
    </row>
    <row r="3">
      <c r="B3" s="9" t="s">
        <v>12</v>
      </c>
      <c r="C3" s="30">
        <f>BL(H11)+BL(I9)+BL(J8)+BL(K7)+BL(L6)+BL(M5)+BL(N4)+BL(O5)+BL(P6)+BL(Q7)+BL(R8)+BL(S9)+BL(T10)+BL(H15)+BL(I19)+BL(I23)+BL(J15)+BL(L15)+BL(K19)+BL(K23)+BL(M19)+BL(K42)+BL(L48)+BL(J37)+BL(M23)+BL(M27)+BL(M31)+BL(M35)+BL(M39)+BL(M43)+BL(O42)+BL(N48)+BL(Q42)+BL(O21)+BL(O15)+BL(P18)+BL(Q27)+BL(R30)+BL(R35)+BL(T30)+BL(T34)+BL(T38)+BL(T42)+BL(R15)+BL(T15)+BL(U17)+BL(W22)+BL(X24)+BL(W26)+BL(X28)+BL(W30)+BL(W34)+BL(X36)+BL(W39)+BL(V41)+BL(P48)+BL(P24)+ROUND((J28-J25)/50+100/201,0)+ROUND((J33-J30)/50+100/201,0)+ROUND((V20-V17)/50+100/201,0)</f>
        <v>1</v>
      </c>
      <c r="D3" s="38">
        <f>RO(H9)+RO(I7)+RO(J6)+RO(K5)+RO(L4)+RO(M3)+RO(N2)+RO(O3)+RO(P4)+RO(Q5)+RO(R6)+RO(S7)+RO(H13)+RO(J13)+RO(T8)+RO(K17)+RO(I17)+RO(I21)+RO(K21)+RO(J35)+RO(K40)+RO(L13)+RO(M17)+RO(M21)+RO(M25)+RO(M29)+RO(M33)+RO(M37)+RO(M41)+RO(N46)+RO(O40)+RO(P46)+RO(O13)+RO(O19)+RO(P16)+RO(P22)+RO(Q25)+RO(R13)+RO(R33)+RO(R28)+RO(Q40)+RO(L46)+RO(V39)+RO(T40)+RO(T36)+RO(T32)+RO(T28)+RO(W20)+RO(U15)+RO(X22)+RO(W24)+RO(X26)+RO(W28)+RO(X30)+RO(W32)+RO(X34)+RO(W37)+RO(T13)+ROUND((-J28+J25)/50+100/201,0)+ROUND((-J33+J30)/50+100/201,0)+ROUND((-V20+V17)/50+100/201,0)</f>
        <v>3</v>
      </c>
      <c r="M3" s="39"/>
      <c r="N3" s="40" t="s">
        <v>125</v>
      </c>
      <c r="O3" s="41"/>
    </row>
    <row r="4">
      <c r="B4" s="42" t="s">
        <v>126</v>
      </c>
      <c r="C4" s="43">
        <f>C5-(H11+I9+J8+K7+L6+M5+N4+O5+P6+Q7+R8+S9+T10+R15+O15+L15+J15+H15+I19+I23+J28+J33+J37+K42+L48+N48+P48+Q42+O42+M43+M39+M35+M31+M27+M23+M19+K19+K23+O21+P18+T15+Q27+P24+R30+R35+T30+T34+T38+T42+V41+W39+X36+W34+X32+W30+X28+W26+X24+W22+V20+U17)-D6+C6</f>
        <v>17</v>
      </c>
      <c r="D4" s="45">
        <f>D5-(H9+I7+J6+K5+L4+M3+N2+O3+P4+Q5+R6+S7+T8+R13+O13+L13+J13+H13+I17+I21+J25+J30+J35+K40+L46+N46+P46+Q40+O40+M41+M37+M33+M29+M25+M21+M17+K17+K21+O19+P16+T13+Q25+P22+R28+R33+T28+T32+T36+T40+V39+W37+X34+W32+X30+W28+X26+W24+X22+W20+V17+U15)-C6+D6</f>
        <v>22</v>
      </c>
      <c r="L4" s="46"/>
      <c r="M4" s="47" t="s">
        <v>161</v>
      </c>
      <c r="N4" s="48"/>
      <c r="O4" s="50" t="s">
        <v>163</v>
      </c>
      <c r="P4" s="52"/>
    </row>
    <row r="5">
      <c r="B5" s="53" t="s">
        <v>167</v>
      </c>
      <c r="C5" s="54">
        <v>30.0</v>
      </c>
      <c r="D5" s="55">
        <v>40.0</v>
      </c>
      <c r="K5" s="39"/>
      <c r="L5" s="56" t="s">
        <v>168</v>
      </c>
      <c r="M5" s="57"/>
      <c r="O5" s="57"/>
      <c r="P5" s="58" t="s">
        <v>170</v>
      </c>
      <c r="Q5" s="39"/>
    </row>
    <row r="6">
      <c r="B6" s="59" t="s">
        <v>173</v>
      </c>
      <c r="C6" s="60">
        <v>0.0</v>
      </c>
      <c r="D6" s="61">
        <v>0.0</v>
      </c>
      <c r="J6" s="46"/>
      <c r="K6" s="47" t="s">
        <v>175</v>
      </c>
      <c r="L6" s="57"/>
      <c r="P6" s="48"/>
      <c r="Q6" s="50" t="s">
        <v>176</v>
      </c>
      <c r="R6" s="52"/>
    </row>
    <row r="7">
      <c r="I7" s="39"/>
      <c r="J7" s="62" t="s">
        <v>177</v>
      </c>
      <c r="K7" s="57"/>
      <c r="Q7" s="57"/>
      <c r="R7" s="58" t="s">
        <v>178</v>
      </c>
      <c r="S7" s="41"/>
    </row>
    <row r="8">
      <c r="H8" s="63"/>
      <c r="I8" s="64" t="s">
        <v>179</v>
      </c>
      <c r="J8" s="57"/>
      <c r="R8" s="48"/>
      <c r="S8" s="50" t="s">
        <v>181</v>
      </c>
      <c r="T8" s="65"/>
    </row>
    <row r="9">
      <c r="H9" s="46"/>
      <c r="I9" s="57"/>
      <c r="S9" s="48"/>
      <c r="T9" s="66" t="s">
        <v>185</v>
      </c>
    </row>
    <row r="10">
      <c r="H10" s="67" t="s">
        <v>186</v>
      </c>
      <c r="T10" s="68"/>
    </row>
    <row r="11">
      <c r="H11" s="69"/>
      <c r="T11" s="70"/>
    </row>
    <row r="12">
      <c r="H12" s="63"/>
      <c r="T12" s="70"/>
    </row>
    <row r="13">
      <c r="H13" s="46">
        <v>8.0</v>
      </c>
      <c r="J13" s="71"/>
      <c r="L13" s="72"/>
      <c r="O13" s="7"/>
      <c r="R13" s="72"/>
      <c r="T13" s="65"/>
    </row>
    <row r="14">
      <c r="H14" s="73" t="s">
        <v>188</v>
      </c>
      <c r="J14" s="74" t="s">
        <v>191</v>
      </c>
      <c r="K14" s="75"/>
      <c r="L14" s="76" t="s">
        <v>192</v>
      </c>
      <c r="M14" s="78"/>
      <c r="N14" s="75"/>
      <c r="O14" s="79" t="s">
        <v>195</v>
      </c>
      <c r="P14" s="75"/>
      <c r="Q14" s="75"/>
      <c r="R14" s="80" t="s">
        <v>196</v>
      </c>
      <c r="S14" s="75"/>
      <c r="T14" s="81" t="s">
        <v>197</v>
      </c>
      <c r="U14" s="82"/>
      <c r="V14" s="82"/>
    </row>
    <row r="15">
      <c r="H15" s="69">
        <v>7.0</v>
      </c>
      <c r="J15" s="68"/>
      <c r="K15" s="63"/>
      <c r="L15" s="57"/>
      <c r="M15" s="63"/>
      <c r="O15" s="69"/>
      <c r="R15" s="48"/>
      <c r="T15" s="83"/>
      <c r="U15" s="7"/>
    </row>
    <row r="16">
      <c r="H16" s="63"/>
      <c r="J16" s="70"/>
      <c r="K16" s="63"/>
      <c r="M16" s="63"/>
      <c r="O16" s="63"/>
      <c r="P16" s="71"/>
      <c r="S16" s="84"/>
      <c r="T16" s="82"/>
      <c r="U16" s="81" t="s">
        <v>202</v>
      </c>
      <c r="V16" s="84"/>
      <c r="Y16" s="84"/>
    </row>
    <row r="17">
      <c r="H17" s="63"/>
      <c r="I17" s="7">
        <v>9.0</v>
      </c>
      <c r="J17" s="70"/>
      <c r="K17" s="46"/>
      <c r="L17" s="82"/>
      <c r="M17" s="85"/>
      <c r="O17" s="63"/>
      <c r="P17" s="86" t="s">
        <v>203</v>
      </c>
      <c r="S17" s="82"/>
      <c r="T17" s="82"/>
      <c r="U17" s="69"/>
      <c r="V17" s="72"/>
      <c r="W17" s="82"/>
      <c r="X17" s="82"/>
    </row>
    <row r="18">
      <c r="H18" s="63"/>
      <c r="I18" s="87" t="s">
        <v>205</v>
      </c>
      <c r="J18" s="70"/>
      <c r="K18" s="88" t="s">
        <v>209</v>
      </c>
      <c r="M18" s="89" t="s">
        <v>210</v>
      </c>
      <c r="N18" s="82"/>
      <c r="O18" s="90"/>
      <c r="P18" s="91"/>
      <c r="Q18" s="82"/>
      <c r="R18" s="82"/>
      <c r="S18" s="82"/>
      <c r="T18" s="82"/>
      <c r="U18" s="82"/>
      <c r="V18" s="92" t="s">
        <v>211</v>
      </c>
      <c r="W18" s="93"/>
      <c r="X18" s="94"/>
    </row>
    <row r="19">
      <c r="I19" s="95">
        <v>4.0</v>
      </c>
      <c r="J19" s="70"/>
      <c r="K19" s="69">
        <v>2.0</v>
      </c>
      <c r="M19" s="96"/>
      <c r="N19" s="84"/>
      <c r="O19" s="97"/>
      <c r="R19" s="82"/>
      <c r="U19" s="82"/>
      <c r="V19" s="98" t="s">
        <v>216</v>
      </c>
      <c r="X19" s="99"/>
    </row>
    <row r="20">
      <c r="J20" s="70"/>
      <c r="K20" s="63"/>
      <c r="M20" s="90"/>
      <c r="N20" s="82"/>
      <c r="O20" s="89" t="s">
        <v>217</v>
      </c>
      <c r="R20" s="82"/>
      <c r="S20" s="82"/>
      <c r="V20" s="100"/>
      <c r="W20" s="72"/>
      <c r="X20" s="99"/>
    </row>
    <row r="21">
      <c r="I21" s="7">
        <v>1.0</v>
      </c>
      <c r="J21" s="70"/>
      <c r="K21" s="46"/>
      <c r="M21" s="85"/>
      <c r="N21" s="82"/>
      <c r="O21" s="101"/>
      <c r="P21" s="82"/>
      <c r="Q21" s="82"/>
      <c r="R21" s="82"/>
      <c r="S21" s="82"/>
      <c r="T21" s="82"/>
      <c r="U21" s="102"/>
      <c r="V21" s="82"/>
      <c r="W21" s="103" t="s">
        <v>222</v>
      </c>
      <c r="X21" s="104"/>
    </row>
    <row r="22">
      <c r="I22" s="105" t="s">
        <v>223</v>
      </c>
      <c r="J22" s="70"/>
      <c r="K22" s="89" t="s">
        <v>224</v>
      </c>
      <c r="M22" s="89" t="s">
        <v>225</v>
      </c>
      <c r="O22" s="106"/>
      <c r="P22" s="72"/>
      <c r="U22" s="70"/>
      <c r="W22" s="91"/>
      <c r="X22" s="107"/>
    </row>
    <row r="23">
      <c r="I23" s="48"/>
      <c r="J23" s="70"/>
      <c r="K23" s="69"/>
      <c r="M23" s="108"/>
      <c r="O23" s="90"/>
      <c r="P23" s="109" t="s">
        <v>228</v>
      </c>
      <c r="Q23" s="82"/>
      <c r="S23" s="82"/>
      <c r="U23" s="70"/>
      <c r="W23" s="82"/>
      <c r="X23" s="110" t="s">
        <v>230</v>
      </c>
    </row>
    <row r="24">
      <c r="J24" s="70"/>
      <c r="K24" s="63"/>
      <c r="M24" s="63"/>
      <c r="O24" s="84"/>
      <c r="P24" s="91"/>
      <c r="Q24" s="70"/>
      <c r="U24" s="70"/>
      <c r="V24" s="82"/>
      <c r="W24" s="111"/>
      <c r="X24" s="68"/>
    </row>
    <row r="25">
      <c r="J25" s="112"/>
      <c r="K25" s="113"/>
      <c r="M25" s="114"/>
      <c r="O25" s="82"/>
      <c r="Q25" s="112"/>
      <c r="S25" s="82"/>
      <c r="U25" s="70"/>
      <c r="V25" s="82"/>
      <c r="W25" s="115" t="s">
        <v>233</v>
      </c>
      <c r="X25" s="116"/>
    </row>
    <row r="26">
      <c r="J26" s="117" t="s">
        <v>234</v>
      </c>
      <c r="M26" s="89" t="s">
        <v>235</v>
      </c>
      <c r="O26" s="84"/>
      <c r="P26" s="82"/>
      <c r="Q26" s="118" t="s">
        <v>236</v>
      </c>
      <c r="R26" s="70"/>
      <c r="S26" s="82"/>
      <c r="T26" s="82"/>
      <c r="U26" s="70"/>
      <c r="V26" s="82"/>
      <c r="W26" s="48"/>
      <c r="X26" s="119"/>
    </row>
    <row r="27">
      <c r="J27" s="121" t="s">
        <v>240</v>
      </c>
      <c r="L27" s="82"/>
      <c r="M27" s="96"/>
      <c r="O27" s="82"/>
      <c r="P27" s="82"/>
      <c r="Q27" s="48"/>
      <c r="R27" s="116"/>
      <c r="S27" s="82"/>
      <c r="T27" s="82"/>
      <c r="U27" s="70"/>
      <c r="V27" s="82"/>
      <c r="X27" s="122" t="s">
        <v>243</v>
      </c>
    </row>
    <row r="28">
      <c r="J28" s="69"/>
      <c r="L28" s="82"/>
      <c r="M28" s="90"/>
      <c r="O28" s="82"/>
      <c r="P28" s="82"/>
      <c r="R28" s="112"/>
      <c r="S28" s="123"/>
      <c r="T28" s="72"/>
      <c r="U28" s="116"/>
      <c r="V28" s="82"/>
      <c r="W28" s="111"/>
      <c r="X28" s="68"/>
    </row>
    <row r="29">
      <c r="J29" s="63"/>
      <c r="M29" s="124"/>
      <c r="N29" s="82"/>
      <c r="O29" s="82"/>
      <c r="P29" s="82"/>
      <c r="R29" s="125" t="s">
        <v>244</v>
      </c>
      <c r="S29" s="126"/>
      <c r="T29" s="127" t="s">
        <v>246</v>
      </c>
      <c r="U29" s="128"/>
      <c r="V29" s="82"/>
      <c r="W29" s="115" t="s">
        <v>249</v>
      </c>
      <c r="X29" s="70"/>
    </row>
    <row r="30">
      <c r="J30" s="46"/>
      <c r="L30" s="82"/>
      <c r="M30" s="89" t="s">
        <v>250</v>
      </c>
      <c r="N30" s="82"/>
      <c r="Q30" s="82"/>
      <c r="R30" s="91"/>
      <c r="S30" s="90"/>
      <c r="T30" s="48"/>
      <c r="U30" s="116"/>
      <c r="V30" s="82"/>
      <c r="W30" s="48"/>
      <c r="X30" s="119"/>
    </row>
    <row r="31">
      <c r="J31" s="129" t="s">
        <v>251</v>
      </c>
      <c r="L31" s="82"/>
      <c r="M31" s="108"/>
      <c r="N31" s="82"/>
      <c r="O31" s="82"/>
      <c r="P31" s="82"/>
      <c r="R31" s="82"/>
      <c r="S31" s="90"/>
      <c r="U31" s="116"/>
      <c r="V31" s="82"/>
      <c r="W31" s="82"/>
      <c r="X31" s="122" t="s">
        <v>252</v>
      </c>
    </row>
    <row r="32">
      <c r="J32" s="121" t="s">
        <v>253</v>
      </c>
      <c r="M32" s="90"/>
      <c r="N32" s="82"/>
      <c r="O32" s="82"/>
      <c r="P32" s="82"/>
      <c r="S32" s="90"/>
      <c r="T32" s="111"/>
      <c r="U32" s="116"/>
      <c r="V32" s="82"/>
      <c r="W32" s="72"/>
      <c r="X32" s="68"/>
    </row>
    <row r="33">
      <c r="J33" s="69"/>
      <c r="L33" s="82"/>
      <c r="M33" s="97"/>
      <c r="O33" s="82"/>
      <c r="P33" s="82"/>
      <c r="Q33" s="82"/>
      <c r="R33" s="41"/>
      <c r="S33" s="113"/>
      <c r="T33" s="130" t="s">
        <v>254</v>
      </c>
      <c r="U33" s="116"/>
      <c r="V33" s="82"/>
      <c r="W33" s="115" t="s">
        <v>255</v>
      </c>
      <c r="X33" s="70"/>
    </row>
    <row r="34">
      <c r="J34" s="63"/>
      <c r="L34" s="82"/>
      <c r="M34" s="89" t="s">
        <v>256</v>
      </c>
      <c r="N34" s="82"/>
      <c r="O34" s="82"/>
      <c r="P34" s="82"/>
      <c r="Q34" s="82"/>
      <c r="R34" s="131" t="s">
        <v>257</v>
      </c>
      <c r="S34" s="82"/>
      <c r="T34" s="91"/>
      <c r="U34" s="116"/>
      <c r="V34" s="82"/>
      <c r="W34" s="48"/>
      <c r="X34" s="65"/>
    </row>
    <row r="35">
      <c r="J35" s="124"/>
      <c r="M35" s="101"/>
      <c r="N35" s="82"/>
      <c r="O35" s="82"/>
      <c r="P35" s="82"/>
      <c r="Q35" s="82"/>
      <c r="R35" s="91"/>
      <c r="S35" s="82"/>
      <c r="U35" s="128"/>
      <c r="V35" s="82"/>
      <c r="X35" s="122" t="s">
        <v>258</v>
      </c>
    </row>
    <row r="36">
      <c r="I36" s="82"/>
      <c r="J36" s="89" t="s">
        <v>259</v>
      </c>
      <c r="L36" s="82"/>
      <c r="M36" s="63"/>
      <c r="N36" s="84"/>
      <c r="O36" s="82"/>
      <c r="P36" s="82"/>
      <c r="Q36" s="82"/>
      <c r="R36" s="82"/>
      <c r="S36" s="82"/>
      <c r="T36" s="72"/>
      <c r="U36" s="116"/>
      <c r="V36" s="82"/>
      <c r="W36" s="82"/>
      <c r="X36" s="132"/>
    </row>
    <row r="37">
      <c r="I37" s="82"/>
      <c r="J37" s="101"/>
      <c r="L37" s="82"/>
      <c r="M37" s="97"/>
      <c r="N37" s="82"/>
      <c r="O37" s="82"/>
      <c r="P37" s="82"/>
      <c r="Q37" s="82"/>
      <c r="R37" s="82"/>
      <c r="T37" s="115" t="s">
        <v>260</v>
      </c>
      <c r="U37" s="116"/>
      <c r="W37" s="72"/>
      <c r="X37" s="116"/>
    </row>
    <row r="38">
      <c r="J38" s="63"/>
      <c r="L38" s="82"/>
      <c r="M38" s="89" t="s">
        <v>261</v>
      </c>
      <c r="N38" s="82"/>
      <c r="O38" s="82"/>
      <c r="P38" s="82"/>
      <c r="Q38" s="82"/>
      <c r="R38" s="82"/>
      <c r="S38" s="82"/>
      <c r="T38" s="133"/>
      <c r="U38" s="116"/>
      <c r="W38" s="134" t="s">
        <v>264</v>
      </c>
      <c r="X38" s="84"/>
    </row>
    <row r="39">
      <c r="J39" s="63"/>
      <c r="L39" s="82"/>
      <c r="M39" s="96"/>
      <c r="N39" s="82"/>
      <c r="O39" s="82"/>
      <c r="P39" s="82"/>
      <c r="Q39" s="82"/>
      <c r="R39" s="82"/>
      <c r="S39" s="82"/>
      <c r="T39" s="82"/>
      <c r="U39" s="116"/>
      <c r="V39" s="124"/>
      <c r="W39" s="48"/>
    </row>
    <row r="40">
      <c r="J40" s="63"/>
      <c r="K40" s="7"/>
      <c r="L40" s="82"/>
      <c r="M40" s="63"/>
      <c r="O40" s="72"/>
      <c r="P40" s="82"/>
      <c r="Q40" s="72"/>
      <c r="T40" s="71"/>
      <c r="U40" s="135"/>
      <c r="V40" s="136" t="s">
        <v>265</v>
      </c>
    </row>
    <row r="41">
      <c r="K41" s="81" t="s">
        <v>266</v>
      </c>
      <c r="M41" s="124"/>
      <c r="O41" s="137" t="s">
        <v>267</v>
      </c>
      <c r="P41" s="75"/>
      <c r="Q41" s="138" t="s">
        <v>269</v>
      </c>
      <c r="R41" s="139"/>
      <c r="S41" s="75"/>
      <c r="T41" s="140" t="s">
        <v>272</v>
      </c>
      <c r="V41" s="48"/>
    </row>
    <row r="42">
      <c r="K42" s="48"/>
      <c r="L42" s="141"/>
      <c r="M42" s="140" t="s">
        <v>275</v>
      </c>
      <c r="N42" s="142"/>
      <c r="O42" s="48"/>
      <c r="P42" s="63"/>
      <c r="Q42" s="48"/>
      <c r="R42" s="82"/>
      <c r="T42" s="48"/>
    </row>
    <row r="43">
      <c r="L43" s="70"/>
      <c r="M43" s="48"/>
      <c r="P43" s="63"/>
    </row>
    <row r="44">
      <c r="L44" s="70"/>
      <c r="P44" s="63"/>
    </row>
    <row r="45">
      <c r="L45" s="70"/>
      <c r="P45" s="63"/>
    </row>
    <row r="46">
      <c r="L46" s="65"/>
      <c r="N46" s="72"/>
      <c r="P46" s="124"/>
    </row>
    <row r="47">
      <c r="L47" s="143" t="s">
        <v>276</v>
      </c>
      <c r="M47" s="144"/>
      <c r="N47" s="40" t="s">
        <v>277</v>
      </c>
      <c r="O47" s="144"/>
      <c r="P47" s="56" t="s">
        <v>278</v>
      </c>
    </row>
    <row r="48">
      <c r="L48" s="57"/>
      <c r="N48" s="48"/>
      <c r="P48" s="48"/>
    </row>
    <row r="86">
      <c r="B86" s="3" t="s">
        <v>282</v>
      </c>
    </row>
    <row r="88">
      <c r="B88" s="2"/>
      <c r="C88" s="4" t="s">
        <v>4</v>
      </c>
      <c r="D88" s="6" t="s">
        <v>9</v>
      </c>
    </row>
    <row r="89">
      <c r="B89" s="9" t="s">
        <v>12</v>
      </c>
      <c r="C89" s="30">
        <f>BL(H11)+BL(I9)+BL(J8)+BL(K7)+BL(L6)+BL(M5)+BL(N4)+BL(O5)+BL(P6)+BL(Q7)+BL(R8)+BL(S9)+BL(T10)+BL(H15)+BL(I19)+BL(I23)+BL(J15)+BL(L15)+BL(K19)+BL(K23)+BL(M19)+BL(K42)+BL(L48)+BL(J37)+BL(M23)+BL(M27)+BL(M31)+BL(M35)+BL(M39)+BL(M43)+BL(O42)+BL(N48)+BL(Q42)+BL(O21)+BL(O15)+BL(P18)+BL(Q27)+BL(R30)+BL(R35)+BL(T30)+BL(T34)+BL(T38)+BL(T42)+BL(R15)+BL(T15)+BL(U17)+BL(W22)+BL(X24)+BL(W26)+BL(X28)+BL(W30)+BL(W34)+BL(X36)+BL(W39)+BL(V41)+BL(P48)+BL(P24)+ROUND((J28-J25)/50+100/201,0)+ROUND((J33-J30)/50+100/201,0)+ROUND((V20-V17)/50+100/201,0)</f>
        <v>1</v>
      </c>
      <c r="D89" s="38">
        <f>RO(H9)+RO(I7)+RO(J6)+RO(K5)+RO(L4)+RO(M3)+RO(N2)+RO(O3)+RO(P4)+RO(Q5)+RO(R6)+RO(S7)+RO(H13)+RO(J13)+RO(T8)+RO(K17)+RO(I17)+RO(I21)+RO(K21)+RO(J35)+RO(K40)+RO(L13)+RO(M17)+RO(M21)+RO(M25)+RO(M29)+RO(M33)+RO(M37)+RO(M41)+RO(N46)+RO(O40)+RO(P46)+RO(O13)+RO(O19)+RO(P16)+RO(P22)+RO(Q25)+RO(R13)+RO(R33)+RO(R28)+RO(Q40)+RO(L46)+RO(V39)+RO(T40)+RO(T36)+RO(T32)+RO(T28)+RO(W20)+RO(U15)+RO(X22)+RO(W24)+RO(X26)+RO(W28)+RO(X30)+RO(W32)+RO(X34)+RO(W37)+RO(T13)+ROUND((-J28+J25)/50+100/201,0)+ROUND((-J33+J30)/50+100/201,0)+ROUND((-V20+V17)/50+100/201,0)</f>
        <v>3</v>
      </c>
    </row>
    <row r="90">
      <c r="B90" s="152" t="s">
        <v>313</v>
      </c>
      <c r="C90" s="154">
        <f>C91-(H11+I9+J8+K7+L6+M5+N4+O5+P6+Q7+R8+S9+T10+R15+O15+L15+J15+H15+I19+I23+J28+J33+J37+K42+L48+N48+P48+Q42+O42+M43+M39+M35+M31+M27+M23+M19+K19+K23+O21+P18+T15+Q27+P24+R30+R35+T30+T34+T38+T42+V41+W39+X36+W34+X32+W30+X28+W26+X24+W22+V20+U17)</f>
        <v>37</v>
      </c>
      <c r="D90" s="158">
        <f>D91-(H9+I7+J6+K5+L4+M3+N2+O3+P4+Q5+R6+S7+T8+R13+O13+L13+J13+H13+I17+I21+J25+J30+J35+K40+L46+N46+P46+Q40+O40+M41+M37+M33+M29+M25+M21+M17+K17+K21+O19+P16+T13+Q25+P22+R28+R33+T28+T32+T36+T40+V39+W37+X34+W32+X30+W28+X26+W24+X22+W20+V17+U15)</f>
        <v>32</v>
      </c>
    </row>
    <row r="91">
      <c r="B91" s="59" t="s">
        <v>322</v>
      </c>
      <c r="C91" s="60">
        <v>50.0</v>
      </c>
      <c r="D91" s="61">
        <v>50.0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38"/>
    <col customWidth="1" min="4" max="4" width="21.63"/>
  </cols>
  <sheetData>
    <row r="3">
      <c r="B3" s="1" t="s">
        <v>1</v>
      </c>
      <c r="C3" s="1" t="s">
        <v>13</v>
      </c>
      <c r="D3" s="1" t="s">
        <v>6</v>
      </c>
      <c r="E3" s="1" t="s">
        <v>15</v>
      </c>
    </row>
    <row r="4">
      <c r="B4" s="1">
        <v>1.0</v>
      </c>
      <c r="C4" s="1" t="s">
        <v>2</v>
      </c>
      <c r="D4" s="1" t="s">
        <v>14</v>
      </c>
      <c r="E4" s="1">
        <v>15.0</v>
      </c>
    </row>
    <row r="5">
      <c r="B5" s="1">
        <v>2.0</v>
      </c>
      <c r="C5" s="1" t="s">
        <v>16</v>
      </c>
      <c r="D5" s="1" t="s">
        <v>14</v>
      </c>
      <c r="E5" s="1">
        <v>15.0</v>
      </c>
    </row>
    <row r="6">
      <c r="B6" s="1">
        <v>3.0</v>
      </c>
      <c r="C6" s="1" t="s">
        <v>18</v>
      </c>
      <c r="D6" s="1" t="s">
        <v>14</v>
      </c>
      <c r="E6" s="1">
        <v>25.0</v>
      </c>
    </row>
    <row r="7">
      <c r="B7" s="1">
        <v>4.0</v>
      </c>
      <c r="C7" s="1" t="s">
        <v>19</v>
      </c>
      <c r="D7" s="1" t="s">
        <v>20</v>
      </c>
      <c r="E7" s="13">
        <v>0.25</v>
      </c>
    </row>
    <row r="8">
      <c r="B8" s="1">
        <v>5.0</v>
      </c>
      <c r="C8" s="1" t="s">
        <v>22</v>
      </c>
      <c r="D8" s="1" t="s">
        <v>23</v>
      </c>
      <c r="E8" s="1">
        <v>2.0</v>
      </c>
    </row>
    <row r="9">
      <c r="B9" s="1">
        <v>6.0</v>
      </c>
      <c r="C9" s="1" t="s">
        <v>24</v>
      </c>
      <c r="D9" s="1" t="s">
        <v>14</v>
      </c>
      <c r="E9" s="1">
        <v>25.0</v>
      </c>
    </row>
    <row r="10">
      <c r="B10" s="1">
        <v>7.0</v>
      </c>
      <c r="C10" s="1" t="s">
        <v>25</v>
      </c>
      <c r="D10" s="1" t="s">
        <v>14</v>
      </c>
      <c r="E10" s="1">
        <v>50.0</v>
      </c>
    </row>
    <row r="11">
      <c r="B11" s="1">
        <v>8.0</v>
      </c>
      <c r="C11" s="1" t="s">
        <v>27</v>
      </c>
      <c r="D11" s="1" t="s">
        <v>28</v>
      </c>
      <c r="E11" s="1" t="s">
        <v>29</v>
      </c>
    </row>
    <row r="12">
      <c r="B12" s="1">
        <v>9.0</v>
      </c>
      <c r="C12" s="1" t="s">
        <v>30</v>
      </c>
      <c r="D12" s="1" t="s">
        <v>28</v>
      </c>
      <c r="E12" s="1" t="s">
        <v>29</v>
      </c>
    </row>
    <row r="13">
      <c r="B13" s="1">
        <v>10.0</v>
      </c>
      <c r="C13" s="1" t="s">
        <v>31</v>
      </c>
      <c r="D13" s="1" t="s">
        <v>28</v>
      </c>
      <c r="E13" s="1" t="s">
        <v>32</v>
      </c>
    </row>
    <row r="14">
      <c r="B14" s="1">
        <v>11.0</v>
      </c>
      <c r="C14" s="1" t="s">
        <v>33</v>
      </c>
      <c r="D14" s="1" t="s">
        <v>28</v>
      </c>
      <c r="E14" s="1" t="s">
        <v>32</v>
      </c>
    </row>
    <row r="15">
      <c r="B15" s="1">
        <v>12.0</v>
      </c>
      <c r="C15" s="1" t="s">
        <v>34</v>
      </c>
      <c r="D15" s="1" t="s">
        <v>28</v>
      </c>
      <c r="E15" s="1" t="s">
        <v>35</v>
      </c>
    </row>
    <row r="16">
      <c r="B16" s="1">
        <v>13.0</v>
      </c>
      <c r="C16" s="1" t="s">
        <v>36</v>
      </c>
      <c r="D16" s="1" t="s">
        <v>28</v>
      </c>
      <c r="E16" s="1" t="s">
        <v>37</v>
      </c>
    </row>
    <row r="17">
      <c r="B17" s="1">
        <v>14.0</v>
      </c>
      <c r="C17" s="1" t="s">
        <v>38</v>
      </c>
      <c r="D17" s="1" t="s">
        <v>23</v>
      </c>
      <c r="E17" s="1" t="s">
        <v>39</v>
      </c>
    </row>
    <row r="18">
      <c r="B18" s="1">
        <v>15.0</v>
      </c>
      <c r="C18" s="1" t="s">
        <v>40</v>
      </c>
      <c r="D18" s="1" t="s">
        <v>20</v>
      </c>
      <c r="E18" s="13">
        <v>0.3</v>
      </c>
    </row>
    <row r="19">
      <c r="B19" s="1">
        <v>16.0</v>
      </c>
      <c r="C19" s="1" t="s">
        <v>42</v>
      </c>
      <c r="D19" s="1" t="s">
        <v>14</v>
      </c>
      <c r="E19" s="1">
        <v>30.0</v>
      </c>
    </row>
    <row r="20">
      <c r="B20" s="1">
        <v>17.0</v>
      </c>
      <c r="C20" s="1" t="s">
        <v>43</v>
      </c>
      <c r="D20" s="1" t="s">
        <v>23</v>
      </c>
      <c r="E20" s="1" t="s">
        <v>39</v>
      </c>
    </row>
    <row r="21">
      <c r="B21" s="1">
        <v>18.0</v>
      </c>
      <c r="C21" s="1" t="s">
        <v>44</v>
      </c>
      <c r="D21" s="1" t="s">
        <v>14</v>
      </c>
      <c r="E21" s="1">
        <v>50.0</v>
      </c>
    </row>
    <row r="22">
      <c r="B22" s="1">
        <v>19.0</v>
      </c>
      <c r="C22" s="1" t="s">
        <v>45</v>
      </c>
      <c r="D22" s="1" t="s">
        <v>28</v>
      </c>
      <c r="E22" s="1" t="s">
        <v>35</v>
      </c>
    </row>
    <row r="23">
      <c r="B23" s="1">
        <v>20.0</v>
      </c>
      <c r="C23" s="1" t="s">
        <v>46</v>
      </c>
      <c r="D23" s="1" t="s">
        <v>28</v>
      </c>
      <c r="E23" s="1" t="s">
        <v>29</v>
      </c>
    </row>
    <row r="24">
      <c r="B24" s="1">
        <v>21.0</v>
      </c>
      <c r="C24" s="1" t="s">
        <v>48</v>
      </c>
      <c r="D24" s="1" t="s">
        <v>14</v>
      </c>
      <c r="E24" s="1">
        <v>30.0</v>
      </c>
    </row>
    <row r="25">
      <c r="B25" s="1">
        <v>22.0</v>
      </c>
      <c r="C25" s="1" t="s">
        <v>49</v>
      </c>
      <c r="D25" s="1" t="s">
        <v>14</v>
      </c>
      <c r="E25" s="1">
        <v>30.0</v>
      </c>
    </row>
    <row r="26">
      <c r="B26" s="1">
        <v>23.0</v>
      </c>
      <c r="C26" s="1" t="s">
        <v>50</v>
      </c>
      <c r="D26" s="1" t="s">
        <v>20</v>
      </c>
      <c r="E26" s="13">
        <v>0.3</v>
      </c>
    </row>
    <row r="27">
      <c r="B27" s="1">
        <v>24.0</v>
      </c>
      <c r="C27" s="1" t="s">
        <v>51</v>
      </c>
      <c r="D27" s="1" t="s">
        <v>14</v>
      </c>
      <c r="E27" s="1">
        <v>30.0</v>
      </c>
    </row>
    <row r="28">
      <c r="B28" s="1">
        <v>25.0</v>
      </c>
      <c r="C28" s="1" t="s">
        <v>52</v>
      </c>
      <c r="D28" s="1" t="s">
        <v>14</v>
      </c>
      <c r="E28" s="1">
        <v>40.0</v>
      </c>
    </row>
    <row r="29">
      <c r="B29" s="1">
        <v>26.0</v>
      </c>
      <c r="C29" s="1" t="s">
        <v>53</v>
      </c>
      <c r="D29" s="1" t="s">
        <v>23</v>
      </c>
      <c r="E29" s="1" t="s">
        <v>39</v>
      </c>
    </row>
    <row r="30">
      <c r="B30" s="1">
        <v>27.0</v>
      </c>
      <c r="C30" s="1" t="s">
        <v>55</v>
      </c>
      <c r="D30" s="1" t="s">
        <v>20</v>
      </c>
      <c r="E30" s="13">
        <v>0.5</v>
      </c>
    </row>
    <row r="31">
      <c r="B31" s="1">
        <v>28.0</v>
      </c>
      <c r="C31" s="1" t="s">
        <v>56</v>
      </c>
      <c r="D31" s="1" t="s">
        <v>14</v>
      </c>
      <c r="E31" s="1">
        <v>25.0</v>
      </c>
    </row>
    <row r="32">
      <c r="B32" s="1">
        <v>29.0</v>
      </c>
      <c r="C32" s="1" t="s">
        <v>57</v>
      </c>
      <c r="D32" s="1" t="s">
        <v>20</v>
      </c>
      <c r="E32" s="13">
        <v>0.5</v>
      </c>
    </row>
    <row r="33">
      <c r="B33" s="1">
        <v>30.0</v>
      </c>
      <c r="C33" s="1" t="s">
        <v>59</v>
      </c>
      <c r="D33" s="1" t="s">
        <v>20</v>
      </c>
      <c r="E33" s="13">
        <v>0.25</v>
      </c>
    </row>
    <row r="34">
      <c r="B34" s="1">
        <v>31.0</v>
      </c>
      <c r="C34" s="1" t="s">
        <v>60</v>
      </c>
      <c r="D34" s="1" t="s">
        <v>28</v>
      </c>
      <c r="E34" s="1" t="s">
        <v>37</v>
      </c>
    </row>
    <row r="35">
      <c r="B35" s="1">
        <v>32.0</v>
      </c>
      <c r="C35" s="1" t="s">
        <v>61</v>
      </c>
      <c r="D35" s="1" t="s">
        <v>14</v>
      </c>
      <c r="E35" s="1">
        <v>25.0</v>
      </c>
    </row>
    <row r="36">
      <c r="B36" s="1">
        <v>33.0</v>
      </c>
      <c r="C36" s="1" t="s">
        <v>62</v>
      </c>
      <c r="D36" s="1" t="s">
        <v>23</v>
      </c>
      <c r="E36" s="1" t="s">
        <v>63</v>
      </c>
    </row>
    <row r="37">
      <c r="B37" s="1">
        <v>34.0</v>
      </c>
      <c r="C37" s="1" t="s">
        <v>64</v>
      </c>
      <c r="D37" s="1" t="s">
        <v>14</v>
      </c>
      <c r="E37" s="1">
        <v>80.0</v>
      </c>
    </row>
    <row r="38">
      <c r="B38" s="1">
        <v>35.0</v>
      </c>
      <c r="C38" s="1" t="s">
        <v>66</v>
      </c>
      <c r="D38" s="1" t="s">
        <v>28</v>
      </c>
      <c r="E38" s="1" t="s">
        <v>29</v>
      </c>
    </row>
    <row r="39">
      <c r="B39" s="1">
        <v>36.0</v>
      </c>
      <c r="C39" s="1" t="s">
        <v>67</v>
      </c>
      <c r="D39" s="1" t="s">
        <v>23</v>
      </c>
      <c r="E39" s="27">
        <v>46143.0</v>
      </c>
    </row>
    <row r="40">
      <c r="B40" s="1">
        <v>37.0</v>
      </c>
      <c r="C40" s="1" t="s">
        <v>70</v>
      </c>
      <c r="D40" s="1" t="s">
        <v>14</v>
      </c>
      <c r="E40" s="1">
        <v>30.0</v>
      </c>
    </row>
    <row r="41">
      <c r="B41" s="1">
        <v>38.0</v>
      </c>
      <c r="C41" s="1" t="s">
        <v>71</v>
      </c>
      <c r="D41" s="1" t="s">
        <v>23</v>
      </c>
      <c r="E41" s="27">
        <v>46143.0</v>
      </c>
    </row>
    <row r="42">
      <c r="B42" s="1">
        <v>39.0</v>
      </c>
      <c r="C42" s="1" t="s">
        <v>72</v>
      </c>
      <c r="D42" s="1" t="s">
        <v>20</v>
      </c>
      <c r="E42" s="13">
        <v>0.5</v>
      </c>
    </row>
    <row r="43">
      <c r="B43" s="1">
        <v>40.0</v>
      </c>
      <c r="C43" s="1" t="s">
        <v>73</v>
      </c>
      <c r="D43" s="1" t="s">
        <v>14</v>
      </c>
      <c r="E43" s="1">
        <v>80.0</v>
      </c>
    </row>
    <row r="44">
      <c r="B44" s="1">
        <v>41.0</v>
      </c>
      <c r="C44" s="1" t="s">
        <v>74</v>
      </c>
      <c r="D44" s="1" t="s">
        <v>14</v>
      </c>
      <c r="E44" s="1">
        <v>80.0</v>
      </c>
    </row>
    <row r="45">
      <c r="B45" s="1">
        <v>42.0</v>
      </c>
      <c r="C45" s="1" t="s">
        <v>75</v>
      </c>
      <c r="D45" s="1" t="s">
        <v>14</v>
      </c>
      <c r="E45" s="1">
        <v>30.0</v>
      </c>
    </row>
    <row r="46">
      <c r="B46" s="1">
        <v>43.0</v>
      </c>
      <c r="C46" s="1" t="s">
        <v>76</v>
      </c>
      <c r="D46" s="1" t="s">
        <v>23</v>
      </c>
      <c r="E46" s="1" t="s">
        <v>39</v>
      </c>
    </row>
    <row r="47">
      <c r="B47" s="1">
        <v>44.0</v>
      </c>
      <c r="C47" s="1" t="s">
        <v>77</v>
      </c>
      <c r="D47" s="1" t="s">
        <v>14</v>
      </c>
      <c r="E47" s="1">
        <v>30.0</v>
      </c>
    </row>
    <row r="48">
      <c r="B48" s="1">
        <v>45.0</v>
      </c>
      <c r="C48" s="1" t="s">
        <v>79</v>
      </c>
      <c r="D48" s="1" t="s">
        <v>28</v>
      </c>
      <c r="E48" s="1" t="s">
        <v>29</v>
      </c>
    </row>
    <row r="51">
      <c r="B51" s="29"/>
    </row>
    <row r="53">
      <c r="B53" s="1">
        <v>46.0</v>
      </c>
      <c r="C53" s="1" t="s">
        <v>82</v>
      </c>
      <c r="D53" s="1" t="s">
        <v>14</v>
      </c>
      <c r="E53" s="1">
        <v>30.0</v>
      </c>
      <c r="F53" s="10" t="s">
        <v>83</v>
      </c>
    </row>
    <row r="54">
      <c r="B54" s="1">
        <v>47.0</v>
      </c>
      <c r="C54" s="1" t="s">
        <v>80</v>
      </c>
      <c r="D54" s="1" t="s">
        <v>20</v>
      </c>
      <c r="E54" s="13">
        <v>0.35</v>
      </c>
      <c r="F54" s="10" t="s">
        <v>91</v>
      </c>
    </row>
    <row r="55">
      <c r="B55" s="1">
        <v>48.0</v>
      </c>
      <c r="C55" s="1" t="s">
        <v>93</v>
      </c>
      <c r="D55" s="1" t="s">
        <v>14</v>
      </c>
      <c r="E55" s="1">
        <v>60.0</v>
      </c>
      <c r="F55" s="10" t="s">
        <v>94</v>
      </c>
    </row>
    <row r="56">
      <c r="B56" s="1">
        <v>49.0</v>
      </c>
      <c r="C56" s="1" t="s">
        <v>65</v>
      </c>
      <c r="D56" s="1" t="s">
        <v>23</v>
      </c>
      <c r="E56" s="1" t="s">
        <v>39</v>
      </c>
      <c r="F56" s="10" t="s">
        <v>96</v>
      </c>
    </row>
    <row r="57">
      <c r="B57" s="1">
        <v>50.0</v>
      </c>
      <c r="C57" s="1" t="s">
        <v>99</v>
      </c>
      <c r="D57" s="1" t="s">
        <v>23</v>
      </c>
      <c r="E57" s="1" t="s">
        <v>98</v>
      </c>
      <c r="F57" s="10" t="s">
        <v>101</v>
      </c>
    </row>
    <row r="58">
      <c r="B58" s="1">
        <v>51.0</v>
      </c>
      <c r="C58" s="1" t="s">
        <v>107</v>
      </c>
      <c r="D58" s="1" t="s">
        <v>23</v>
      </c>
      <c r="E58" s="27">
        <v>46143.0</v>
      </c>
      <c r="F58" s="10" t="s">
        <v>108</v>
      </c>
    </row>
    <row r="59">
      <c r="B59" s="1">
        <v>52.0</v>
      </c>
      <c r="C59" s="1" t="s">
        <v>112</v>
      </c>
      <c r="D59" s="1" t="s">
        <v>14</v>
      </c>
      <c r="E59" s="1">
        <v>40.0</v>
      </c>
      <c r="F59" s="10" t="s">
        <v>114</v>
      </c>
    </row>
    <row r="60">
      <c r="B60" s="1">
        <v>53.0</v>
      </c>
      <c r="C60" s="1" t="s">
        <v>117</v>
      </c>
      <c r="D60" s="1" t="s">
        <v>20</v>
      </c>
      <c r="E60" s="13">
        <v>0.4</v>
      </c>
      <c r="F60" s="10" t="s">
        <v>119</v>
      </c>
    </row>
    <row r="61">
      <c r="B61" s="1">
        <v>54.0</v>
      </c>
      <c r="C61" s="1" t="s">
        <v>121</v>
      </c>
      <c r="D61" s="1" t="s">
        <v>28</v>
      </c>
      <c r="E61" s="1" t="s">
        <v>122</v>
      </c>
      <c r="F61" s="10" t="s">
        <v>123</v>
      </c>
    </row>
    <row r="62">
      <c r="B62" s="1">
        <v>55.0</v>
      </c>
      <c r="C62" s="1" t="s">
        <v>128</v>
      </c>
      <c r="D62" s="1" t="s">
        <v>14</v>
      </c>
      <c r="E62" s="1">
        <v>30.0</v>
      </c>
      <c r="F62" s="10" t="s">
        <v>129</v>
      </c>
    </row>
    <row r="63">
      <c r="B63" s="1">
        <v>56.0</v>
      </c>
      <c r="C63" s="1" t="s">
        <v>132</v>
      </c>
      <c r="D63" s="1" t="s">
        <v>14</v>
      </c>
      <c r="E63" s="1">
        <v>20.0</v>
      </c>
      <c r="F63" s="10" t="s">
        <v>133</v>
      </c>
    </row>
    <row r="64">
      <c r="B64" s="1">
        <v>57.0</v>
      </c>
      <c r="C64" s="1" t="s">
        <v>138</v>
      </c>
      <c r="D64" s="1" t="s">
        <v>14</v>
      </c>
      <c r="E64" s="1">
        <v>80.0</v>
      </c>
      <c r="F64" s="10" t="s">
        <v>139</v>
      </c>
    </row>
    <row r="65">
      <c r="B65" s="1">
        <v>58.0</v>
      </c>
      <c r="C65" s="1" t="s">
        <v>109</v>
      </c>
      <c r="D65" s="1" t="s">
        <v>23</v>
      </c>
      <c r="E65" s="1" t="s">
        <v>98</v>
      </c>
      <c r="F65" s="10" t="s">
        <v>142</v>
      </c>
    </row>
    <row r="66">
      <c r="B66" s="1">
        <v>59.0</v>
      </c>
      <c r="C66" s="1" t="s">
        <v>144</v>
      </c>
      <c r="D66" s="1" t="s">
        <v>23</v>
      </c>
      <c r="E66" s="1" t="s">
        <v>39</v>
      </c>
      <c r="F66" s="10" t="s">
        <v>145</v>
      </c>
    </row>
    <row r="67">
      <c r="B67" s="1">
        <v>60.0</v>
      </c>
      <c r="C67" s="1" t="s">
        <v>149</v>
      </c>
      <c r="D67" s="1" t="s">
        <v>20</v>
      </c>
      <c r="E67" s="13">
        <v>0.4</v>
      </c>
      <c r="F67" s="10" t="s">
        <v>150</v>
      </c>
    </row>
    <row r="68">
      <c r="B68" s="1">
        <v>61.0</v>
      </c>
      <c r="C68" s="1" t="s">
        <v>152</v>
      </c>
      <c r="D68" s="1" t="s">
        <v>14</v>
      </c>
      <c r="E68" s="1">
        <v>50.0</v>
      </c>
      <c r="F68" s="10" t="s">
        <v>154</v>
      </c>
    </row>
    <row r="69">
      <c r="B69" s="1">
        <v>62.0</v>
      </c>
      <c r="C69" s="1" t="s">
        <v>84</v>
      </c>
      <c r="D69" s="1" t="s">
        <v>14</v>
      </c>
      <c r="E69" s="1">
        <v>60.0</v>
      </c>
      <c r="F69" s="10" t="s">
        <v>155</v>
      </c>
    </row>
    <row r="71">
      <c r="B71" s="29"/>
    </row>
  </sheetData>
  <hyperlinks>
    <hyperlink r:id="rId1" ref="F53"/>
    <hyperlink r:id="rId2" ref="F54"/>
    <hyperlink r:id="rId3" ref="F55"/>
    <hyperlink r:id="rId4" ref="F56"/>
    <hyperlink r:id="rId5" ref="F57"/>
    <hyperlink r:id="rId6" ref="F58"/>
    <hyperlink r:id="rId7" ref="F59"/>
    <hyperlink r:id="rId8" ref="F60"/>
    <hyperlink r:id="rId9" ref="F61"/>
    <hyperlink r:id="rId10" ref="F62"/>
    <hyperlink r:id="rId11" ref="F63"/>
    <hyperlink r:id="rId12" ref="F64"/>
    <hyperlink r:id="rId13" ref="F65"/>
    <hyperlink r:id="rId14" ref="F66"/>
    <hyperlink r:id="rId15" ref="F67"/>
    <hyperlink r:id="rId16" ref="F68"/>
    <hyperlink r:id="rId17" ref="F69"/>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0.5"/>
    <col customWidth="1" min="3" max="3" width="8.5"/>
    <col customWidth="1" min="4" max="4" width="13.75"/>
    <col customWidth="1" min="5" max="5" width="40.25"/>
    <col customWidth="1" min="6" max="6" width="20.0"/>
    <col customWidth="1" min="7" max="7" width="41.13"/>
  </cols>
  <sheetData>
    <row r="1">
      <c r="A1" s="3" t="s">
        <v>0</v>
      </c>
      <c r="B1" s="3" t="s">
        <v>5</v>
      </c>
      <c r="C1" s="3" t="s">
        <v>6</v>
      </c>
      <c r="D1" s="3" t="s">
        <v>7</v>
      </c>
      <c r="E1" s="5" t="s">
        <v>8</v>
      </c>
      <c r="F1" s="3" t="s">
        <v>10</v>
      </c>
      <c r="G1" s="3" t="s">
        <v>11</v>
      </c>
    </row>
    <row r="2">
      <c r="A2" s="8"/>
      <c r="B2" s="11"/>
      <c r="C2" s="12" t="s">
        <v>14</v>
      </c>
      <c r="D2" s="12">
        <v>15.0</v>
      </c>
      <c r="E2" s="14" t="s">
        <v>21</v>
      </c>
      <c r="F2" s="12">
        <v>2.0</v>
      </c>
      <c r="G2" s="12" t="s">
        <v>16</v>
      </c>
      <c r="H2" s="15"/>
    </row>
    <row r="3">
      <c r="A3" s="16"/>
      <c r="B3" s="17"/>
      <c r="C3" s="18" t="s">
        <v>20</v>
      </c>
      <c r="D3" s="19">
        <v>0.25</v>
      </c>
      <c r="E3" s="21" t="s">
        <v>41</v>
      </c>
      <c r="F3" s="18">
        <v>4.0</v>
      </c>
      <c r="G3" s="18" t="s">
        <v>19</v>
      </c>
      <c r="H3" s="15"/>
    </row>
    <row r="4">
      <c r="A4" s="15"/>
      <c r="C4" s="22" t="s">
        <v>23</v>
      </c>
      <c r="D4" s="22" t="s">
        <v>39</v>
      </c>
      <c r="E4" s="24" t="s">
        <v>54</v>
      </c>
      <c r="F4" s="22">
        <v>49.0</v>
      </c>
      <c r="G4" s="22" t="s">
        <v>65</v>
      </c>
      <c r="H4" s="15"/>
    </row>
    <row r="5">
      <c r="A5" s="25"/>
      <c r="B5" s="26"/>
      <c r="C5" s="18" t="s">
        <v>20</v>
      </c>
      <c r="D5" s="19">
        <v>0.35</v>
      </c>
      <c r="E5" s="28" t="s">
        <v>69</v>
      </c>
      <c r="F5" s="18">
        <v>47.0</v>
      </c>
      <c r="G5" s="18" t="s">
        <v>80</v>
      </c>
      <c r="H5" s="15"/>
    </row>
    <row r="6">
      <c r="A6" s="15"/>
      <c r="C6" s="22" t="s">
        <v>14</v>
      </c>
      <c r="D6" s="22">
        <v>60.0</v>
      </c>
      <c r="E6" s="24" t="s">
        <v>81</v>
      </c>
      <c r="F6" s="22">
        <v>62.0</v>
      </c>
      <c r="G6" s="22" t="s">
        <v>84</v>
      </c>
      <c r="H6" s="15"/>
      <c r="P6" s="31" t="s">
        <v>86</v>
      </c>
    </row>
    <row r="7">
      <c r="A7" s="16"/>
      <c r="B7" s="17"/>
      <c r="C7" s="18" t="s">
        <v>23</v>
      </c>
      <c r="D7" s="18" t="s">
        <v>39</v>
      </c>
      <c r="E7" s="21" t="s">
        <v>92</v>
      </c>
      <c r="F7" s="18">
        <v>43.0</v>
      </c>
      <c r="G7" s="18" t="s">
        <v>76</v>
      </c>
      <c r="H7" s="15"/>
    </row>
    <row r="8">
      <c r="A8" s="33"/>
      <c r="B8" s="34"/>
      <c r="C8" s="22" t="s">
        <v>28</v>
      </c>
      <c r="D8" s="22" t="s">
        <v>29</v>
      </c>
      <c r="E8" s="35" t="s">
        <v>95</v>
      </c>
      <c r="F8" s="22">
        <v>45.0</v>
      </c>
      <c r="G8" s="22" t="s">
        <v>79</v>
      </c>
      <c r="H8" s="15"/>
    </row>
    <row r="9">
      <c r="A9" s="25"/>
      <c r="B9" s="26"/>
      <c r="C9" s="18" t="s">
        <v>23</v>
      </c>
      <c r="D9" s="18" t="s">
        <v>98</v>
      </c>
      <c r="E9" s="28" t="s">
        <v>100</v>
      </c>
      <c r="F9" s="18">
        <v>58.0</v>
      </c>
      <c r="G9" s="18" t="s">
        <v>109</v>
      </c>
      <c r="H9" s="15"/>
      <c r="P9" s="31" t="s">
        <v>110</v>
      </c>
    </row>
    <row r="10">
      <c r="A10" s="37"/>
      <c r="B10" s="32"/>
      <c r="C10" s="22" t="s">
        <v>14</v>
      </c>
      <c r="D10" s="22">
        <v>30.0</v>
      </c>
      <c r="E10" s="35" t="s">
        <v>116</v>
      </c>
      <c r="F10" s="22">
        <v>24.0</v>
      </c>
      <c r="G10" s="22" t="s">
        <v>51</v>
      </c>
      <c r="H10" s="15"/>
    </row>
    <row r="11">
      <c r="A11" s="16"/>
      <c r="B11" s="17"/>
      <c r="C11" s="18" t="s">
        <v>28</v>
      </c>
      <c r="D11" s="18" t="s">
        <v>29</v>
      </c>
      <c r="E11" s="21" t="s">
        <v>124</v>
      </c>
      <c r="F11" s="18">
        <v>8.0</v>
      </c>
      <c r="G11" s="18" t="s">
        <v>27</v>
      </c>
      <c r="H11" s="15"/>
    </row>
    <row r="12">
      <c r="A12" s="37"/>
      <c r="B12" s="32"/>
      <c r="C12" s="22" t="s">
        <v>28</v>
      </c>
      <c r="D12" s="22" t="s">
        <v>35</v>
      </c>
      <c r="E12" s="35" t="s">
        <v>131</v>
      </c>
      <c r="F12" s="22">
        <v>19.0</v>
      </c>
      <c r="G12" s="22" t="s">
        <v>45</v>
      </c>
      <c r="H12" s="15"/>
    </row>
    <row r="13">
      <c r="A13" s="16"/>
      <c r="B13" s="17"/>
      <c r="C13" s="18" t="s">
        <v>14</v>
      </c>
      <c r="D13" s="18">
        <v>80.0</v>
      </c>
      <c r="E13" s="21" t="s">
        <v>137</v>
      </c>
      <c r="F13" s="18">
        <v>40.0</v>
      </c>
      <c r="G13" s="18" t="s">
        <v>73</v>
      </c>
      <c r="H13" s="15"/>
    </row>
    <row r="14">
      <c r="A14" s="15"/>
      <c r="B14" s="3"/>
      <c r="C14" s="22" t="s">
        <v>14</v>
      </c>
      <c r="D14" s="22">
        <v>80.0</v>
      </c>
      <c r="E14" s="24" t="s">
        <v>143</v>
      </c>
      <c r="F14" s="22">
        <v>57.0</v>
      </c>
      <c r="G14" s="22" t="s">
        <v>138</v>
      </c>
      <c r="H14" s="15"/>
      <c r="P14" s="31" t="s">
        <v>146</v>
      </c>
    </row>
    <row r="15">
      <c r="A15" s="25"/>
      <c r="B15" s="26"/>
      <c r="C15" s="18" t="s">
        <v>14</v>
      </c>
      <c r="D15" s="18">
        <v>60.0</v>
      </c>
      <c r="E15" s="28" t="s">
        <v>151</v>
      </c>
      <c r="F15" s="18">
        <v>48.0</v>
      </c>
      <c r="G15" s="18" t="s">
        <v>93</v>
      </c>
      <c r="H15" s="15"/>
    </row>
    <row r="16">
      <c r="A16" s="15"/>
      <c r="C16" s="22" t="s">
        <v>14</v>
      </c>
      <c r="D16" s="22">
        <v>50.0</v>
      </c>
      <c r="E16" s="24" t="s">
        <v>158</v>
      </c>
      <c r="F16" s="22">
        <v>61.0</v>
      </c>
      <c r="G16" s="22" t="s">
        <v>152</v>
      </c>
      <c r="H16" s="15"/>
      <c r="P16" s="31" t="s">
        <v>159</v>
      </c>
    </row>
    <row r="17">
      <c r="A17" s="16"/>
      <c r="B17" s="17"/>
      <c r="C17" s="18" t="s">
        <v>23</v>
      </c>
      <c r="D17" s="51">
        <v>46143.0</v>
      </c>
      <c r="E17" s="21" t="s">
        <v>165</v>
      </c>
      <c r="F17" s="18">
        <v>36.0</v>
      </c>
      <c r="G17" s="18" t="s">
        <v>67</v>
      </c>
      <c r="H17" s="15"/>
    </row>
    <row r="18">
      <c r="A18" s="37"/>
      <c r="B18" s="32"/>
      <c r="C18" s="22" t="s">
        <v>14</v>
      </c>
      <c r="D18" s="22">
        <v>25.0</v>
      </c>
      <c r="E18" s="35" t="s">
        <v>172</v>
      </c>
      <c r="F18" s="22">
        <v>32.0</v>
      </c>
      <c r="G18" s="22" t="s">
        <v>61</v>
      </c>
      <c r="H18" s="15"/>
    </row>
    <row r="19">
      <c r="A19" s="25"/>
      <c r="B19" s="26"/>
      <c r="C19" s="18" t="s">
        <v>20</v>
      </c>
      <c r="D19" s="19">
        <v>0.4</v>
      </c>
      <c r="E19" s="28" t="s">
        <v>183</v>
      </c>
      <c r="F19" s="18">
        <v>53.0</v>
      </c>
      <c r="G19" s="18" t="s">
        <v>117</v>
      </c>
      <c r="H19" s="15"/>
      <c r="P19" s="31" t="s">
        <v>190</v>
      </c>
    </row>
    <row r="20">
      <c r="A20" s="37"/>
      <c r="B20" s="32"/>
      <c r="C20" s="22" t="s">
        <v>23</v>
      </c>
      <c r="D20" s="22" t="s">
        <v>63</v>
      </c>
      <c r="E20" s="35" t="s">
        <v>193</v>
      </c>
      <c r="F20" s="22">
        <v>33.0</v>
      </c>
      <c r="G20" s="22" t="s">
        <v>62</v>
      </c>
      <c r="H20" s="15"/>
    </row>
    <row r="21">
      <c r="A21" s="16"/>
      <c r="B21" s="17"/>
      <c r="C21" s="18" t="s">
        <v>20</v>
      </c>
      <c r="D21" s="19">
        <v>0.25</v>
      </c>
      <c r="E21" s="21" t="s">
        <v>201</v>
      </c>
      <c r="F21" s="18">
        <v>30.0</v>
      </c>
      <c r="G21" s="18" t="s">
        <v>59</v>
      </c>
      <c r="H21" s="15"/>
    </row>
    <row r="22">
      <c r="A22" s="15"/>
      <c r="C22" s="22" t="s">
        <v>28</v>
      </c>
      <c r="D22" s="22" t="s">
        <v>122</v>
      </c>
      <c r="E22" s="24" t="s">
        <v>208</v>
      </c>
      <c r="F22" s="22">
        <v>54.0</v>
      </c>
      <c r="G22" s="22" t="s">
        <v>121</v>
      </c>
      <c r="H22" s="15"/>
      <c r="P22" s="31" t="s">
        <v>214</v>
      </c>
    </row>
    <row r="23">
      <c r="A23" s="25"/>
      <c r="B23" s="26"/>
      <c r="C23" s="18" t="s">
        <v>20</v>
      </c>
      <c r="D23" s="19">
        <v>0.4</v>
      </c>
      <c r="E23" s="28" t="s">
        <v>218</v>
      </c>
      <c r="F23" s="18">
        <v>60.0</v>
      </c>
      <c r="G23" s="18" t="s">
        <v>149</v>
      </c>
      <c r="H23" s="15"/>
      <c r="P23" s="31" t="s">
        <v>226</v>
      </c>
    </row>
    <row r="24">
      <c r="A24" s="37"/>
      <c r="B24" s="32"/>
      <c r="C24" s="22" t="s">
        <v>28</v>
      </c>
      <c r="D24" s="22" t="s">
        <v>29</v>
      </c>
      <c r="E24" s="120" t="s">
        <v>232</v>
      </c>
      <c r="F24" s="22">
        <v>35.0</v>
      </c>
      <c r="G24" s="22" t="s">
        <v>66</v>
      </c>
      <c r="H24" s="15"/>
    </row>
    <row r="25">
      <c r="A25" s="16"/>
      <c r="B25" s="17"/>
      <c r="C25" s="18" t="s">
        <v>14</v>
      </c>
      <c r="D25" s="18">
        <v>30.0</v>
      </c>
      <c r="E25" s="21" t="s">
        <v>242</v>
      </c>
      <c r="F25" s="18">
        <v>42.0</v>
      </c>
      <c r="G25" s="18" t="s">
        <v>75</v>
      </c>
      <c r="H25" s="15"/>
    </row>
    <row r="26">
      <c r="A26" s="37"/>
      <c r="B26" s="32"/>
      <c r="C26" s="22" t="s">
        <v>20</v>
      </c>
      <c r="D26" s="44">
        <v>0.5</v>
      </c>
      <c r="E26" s="35" t="s">
        <v>248</v>
      </c>
      <c r="F26" s="22">
        <v>39.0</v>
      </c>
      <c r="G26" s="22" t="s">
        <v>72</v>
      </c>
      <c r="H26" s="15"/>
    </row>
    <row r="27">
      <c r="A27" s="16"/>
      <c r="B27" s="17"/>
      <c r="C27" s="18" t="s">
        <v>14</v>
      </c>
      <c r="D27" s="18">
        <v>80.0</v>
      </c>
      <c r="E27" s="21" t="s">
        <v>97</v>
      </c>
      <c r="F27" s="18">
        <v>34.0</v>
      </c>
      <c r="G27" s="18" t="s">
        <v>64</v>
      </c>
      <c r="H27" s="15"/>
    </row>
    <row r="28">
      <c r="A28" s="15"/>
      <c r="C28" s="22" t="s">
        <v>23</v>
      </c>
      <c r="D28" s="22" t="s">
        <v>39</v>
      </c>
      <c r="E28" s="24" t="s">
        <v>262</v>
      </c>
      <c r="F28" s="22">
        <v>59.0</v>
      </c>
      <c r="G28" s="22" t="s">
        <v>144</v>
      </c>
      <c r="H28" s="15"/>
      <c r="P28" s="31" t="s">
        <v>271</v>
      </c>
    </row>
    <row r="29">
      <c r="A29" s="16"/>
      <c r="B29" s="17"/>
      <c r="C29" s="18" t="s">
        <v>28</v>
      </c>
      <c r="D29" s="18" t="s">
        <v>37</v>
      </c>
      <c r="E29" s="21" t="s">
        <v>106</v>
      </c>
      <c r="F29" s="18">
        <v>31.0</v>
      </c>
      <c r="G29" s="18" t="s">
        <v>60</v>
      </c>
      <c r="H29" s="15"/>
    </row>
    <row r="30">
      <c r="A30" s="37"/>
      <c r="B30" s="32"/>
      <c r="C30" s="22" t="s">
        <v>14</v>
      </c>
      <c r="D30" s="22">
        <v>80.0</v>
      </c>
      <c r="E30" s="35" t="s">
        <v>115</v>
      </c>
      <c r="F30" s="22">
        <v>41.0</v>
      </c>
      <c r="G30" s="22" t="s">
        <v>74</v>
      </c>
      <c r="H30" s="15"/>
    </row>
    <row r="31">
      <c r="A31" s="16"/>
      <c r="B31" s="17"/>
      <c r="C31" s="18" t="s">
        <v>23</v>
      </c>
      <c r="D31" s="18" t="s">
        <v>39</v>
      </c>
      <c r="E31" s="21" t="s">
        <v>130</v>
      </c>
      <c r="F31" s="18">
        <v>17.0</v>
      </c>
      <c r="G31" s="18" t="s">
        <v>43</v>
      </c>
      <c r="H31" s="15"/>
    </row>
    <row r="32">
      <c r="A32" s="37"/>
      <c r="B32" s="32"/>
      <c r="C32" s="22" t="s">
        <v>28</v>
      </c>
      <c r="D32" s="22" t="s">
        <v>37</v>
      </c>
      <c r="E32" s="35" t="s">
        <v>289</v>
      </c>
      <c r="F32" s="22">
        <v>13.0</v>
      </c>
      <c r="G32" s="22" t="s">
        <v>36</v>
      </c>
      <c r="H32" s="15"/>
    </row>
    <row r="33">
      <c r="A33" s="16"/>
      <c r="B33" s="17"/>
      <c r="C33" s="18" t="s">
        <v>28</v>
      </c>
      <c r="D33" s="18" t="s">
        <v>29</v>
      </c>
      <c r="E33" s="21" t="s">
        <v>293</v>
      </c>
      <c r="F33" s="18">
        <v>20.0</v>
      </c>
      <c r="G33" s="18" t="s">
        <v>46</v>
      </c>
      <c r="H33" s="15"/>
    </row>
    <row r="34">
      <c r="A34" s="37"/>
      <c r="B34" s="32"/>
      <c r="C34" s="22" t="s">
        <v>28</v>
      </c>
      <c r="D34" s="22" t="s">
        <v>35</v>
      </c>
      <c r="E34" s="35" t="s">
        <v>294</v>
      </c>
      <c r="F34" s="22">
        <v>12.0</v>
      </c>
      <c r="G34" s="22" t="s">
        <v>34</v>
      </c>
      <c r="H34" s="15"/>
    </row>
    <row r="35">
      <c r="A35" s="16"/>
      <c r="B35" s="17"/>
      <c r="C35" s="18" t="s">
        <v>23</v>
      </c>
      <c r="D35" s="18" t="s">
        <v>39</v>
      </c>
      <c r="E35" s="21" t="s">
        <v>300</v>
      </c>
      <c r="F35" s="18">
        <v>26.0</v>
      </c>
      <c r="G35" s="18" t="s">
        <v>53</v>
      </c>
      <c r="H35" s="15"/>
    </row>
    <row r="36">
      <c r="A36" s="37"/>
      <c r="B36" s="32"/>
      <c r="C36" s="22" t="s">
        <v>20</v>
      </c>
      <c r="D36" s="44">
        <v>0.3</v>
      </c>
      <c r="E36" s="35" t="s">
        <v>307</v>
      </c>
      <c r="F36" s="22">
        <v>23.0</v>
      </c>
      <c r="G36" s="22" t="s">
        <v>50</v>
      </c>
      <c r="H36" s="15"/>
    </row>
    <row r="37">
      <c r="A37" s="16"/>
      <c r="B37" s="17"/>
      <c r="C37" s="18" t="s">
        <v>20</v>
      </c>
      <c r="D37" s="19">
        <v>0.5</v>
      </c>
      <c r="E37" s="21" t="s">
        <v>308</v>
      </c>
      <c r="F37" s="18">
        <v>29.0</v>
      </c>
      <c r="G37" s="18" t="s">
        <v>57</v>
      </c>
      <c r="H37" s="15"/>
    </row>
    <row r="38">
      <c r="A38" s="37"/>
      <c r="B38" s="32"/>
      <c r="C38" s="22" t="s">
        <v>14</v>
      </c>
      <c r="D38" s="22">
        <v>40.0</v>
      </c>
      <c r="E38" s="35" t="s">
        <v>309</v>
      </c>
      <c r="F38" s="22">
        <v>25.0</v>
      </c>
      <c r="G38" s="22" t="s">
        <v>52</v>
      </c>
      <c r="H38" s="15"/>
    </row>
    <row r="39">
      <c r="A39" s="145"/>
      <c r="B39" s="146"/>
      <c r="C39" s="147" t="s">
        <v>14</v>
      </c>
      <c r="D39" s="147">
        <v>30.0</v>
      </c>
      <c r="E39" s="148" t="s">
        <v>310</v>
      </c>
      <c r="F39" s="147">
        <v>37.0</v>
      </c>
      <c r="G39" s="147" t="s">
        <v>70</v>
      </c>
      <c r="H39" s="15"/>
    </row>
    <row r="40">
      <c r="A40" s="145"/>
      <c r="B40" s="146"/>
      <c r="C40" s="147" t="s">
        <v>14</v>
      </c>
      <c r="D40" s="147">
        <v>30.0</v>
      </c>
      <c r="E40" s="148" t="s">
        <v>311</v>
      </c>
      <c r="F40" s="147">
        <v>22.0</v>
      </c>
      <c r="G40" s="147" t="s">
        <v>49</v>
      </c>
      <c r="H40" s="15"/>
    </row>
    <row r="41">
      <c r="A41" s="149"/>
      <c r="B41" s="150"/>
      <c r="C41" s="147" t="s">
        <v>14</v>
      </c>
      <c r="D41" s="147">
        <v>30.0</v>
      </c>
      <c r="E41" s="151" t="s">
        <v>312</v>
      </c>
      <c r="F41" s="147">
        <v>46.0</v>
      </c>
      <c r="G41" s="147" t="s">
        <v>82</v>
      </c>
      <c r="H41" s="15"/>
    </row>
    <row r="42">
      <c r="A42" s="149"/>
      <c r="B42" s="150"/>
      <c r="C42" s="147" t="s">
        <v>14</v>
      </c>
      <c r="D42" s="147">
        <v>40.0</v>
      </c>
      <c r="E42" s="151" t="s">
        <v>314</v>
      </c>
      <c r="F42" s="147">
        <v>52.0</v>
      </c>
      <c r="G42" s="147" t="s">
        <v>112</v>
      </c>
      <c r="H42" s="15"/>
    </row>
    <row r="43">
      <c r="A43" s="149"/>
      <c r="B43" s="150"/>
      <c r="C43" s="147" t="s">
        <v>23</v>
      </c>
      <c r="D43" s="147" t="s">
        <v>98</v>
      </c>
      <c r="E43" s="151" t="s">
        <v>315</v>
      </c>
      <c r="F43" s="147">
        <v>50.0</v>
      </c>
      <c r="G43" s="147" t="s">
        <v>99</v>
      </c>
      <c r="H43" s="15"/>
    </row>
    <row r="44">
      <c r="A44" s="145"/>
      <c r="B44" s="146"/>
      <c r="C44" s="147" t="s">
        <v>14</v>
      </c>
      <c r="D44" s="147">
        <v>15.0</v>
      </c>
      <c r="E44" s="148" t="s">
        <v>316</v>
      </c>
      <c r="F44" s="147">
        <v>1.0</v>
      </c>
      <c r="G44" s="147" t="s">
        <v>2</v>
      </c>
      <c r="H44" s="15"/>
    </row>
    <row r="45">
      <c r="A45" s="145"/>
      <c r="B45" s="146"/>
      <c r="C45" s="147" t="s">
        <v>14</v>
      </c>
      <c r="D45" s="147">
        <v>25.0</v>
      </c>
      <c r="E45" s="148" t="s">
        <v>317</v>
      </c>
      <c r="F45" s="147">
        <v>3.0</v>
      </c>
      <c r="G45" s="147" t="s">
        <v>18</v>
      </c>
      <c r="H45" s="15"/>
    </row>
    <row r="46">
      <c r="A46" s="145"/>
      <c r="B46" s="146"/>
      <c r="C46" s="147" t="s">
        <v>20</v>
      </c>
      <c r="D46" s="153">
        <v>0.3</v>
      </c>
      <c r="E46" s="148" t="s">
        <v>318</v>
      </c>
      <c r="F46" s="147">
        <v>15.0</v>
      </c>
      <c r="G46" s="147" t="s">
        <v>40</v>
      </c>
      <c r="H46" s="15"/>
    </row>
    <row r="47">
      <c r="A47" s="145"/>
      <c r="B47" s="146"/>
      <c r="C47" s="147" t="s">
        <v>14</v>
      </c>
      <c r="D47" s="147">
        <v>30.0</v>
      </c>
      <c r="E47" s="148" t="s">
        <v>319</v>
      </c>
      <c r="F47" s="147">
        <v>16.0</v>
      </c>
      <c r="G47" s="147" t="s">
        <v>42</v>
      </c>
      <c r="H47" s="15"/>
    </row>
    <row r="48">
      <c r="A48" s="16"/>
      <c r="B48" s="17"/>
      <c r="C48" s="18" t="s">
        <v>28</v>
      </c>
      <c r="D48" s="18" t="s">
        <v>32</v>
      </c>
      <c r="E48" s="21" t="s">
        <v>320</v>
      </c>
      <c r="F48" s="18">
        <v>10.0</v>
      </c>
      <c r="G48" s="18" t="s">
        <v>31</v>
      </c>
      <c r="H48" s="15"/>
    </row>
    <row r="49">
      <c r="A49" s="155"/>
      <c r="B49" s="156"/>
      <c r="C49" s="157" t="s">
        <v>14</v>
      </c>
      <c r="D49" s="157">
        <v>50.0</v>
      </c>
      <c r="E49" s="159" t="s">
        <v>321</v>
      </c>
      <c r="F49" s="157">
        <v>7.0</v>
      </c>
      <c r="G49" s="157" t="s">
        <v>25</v>
      </c>
      <c r="H49" s="15"/>
    </row>
    <row r="50">
      <c r="A50" s="155"/>
      <c r="B50" s="156"/>
      <c r="C50" s="157" t="s">
        <v>14</v>
      </c>
      <c r="D50" s="157">
        <v>30.0</v>
      </c>
      <c r="E50" s="159" t="s">
        <v>323</v>
      </c>
      <c r="F50" s="157">
        <v>21.0</v>
      </c>
      <c r="G50" s="157" t="s">
        <v>48</v>
      </c>
      <c r="H50" s="15"/>
    </row>
    <row r="51">
      <c r="A51" s="160"/>
      <c r="B51" s="161"/>
      <c r="C51" s="157" t="s">
        <v>14</v>
      </c>
      <c r="D51" s="157">
        <v>20.0</v>
      </c>
      <c r="E51" s="162" t="s">
        <v>324</v>
      </c>
      <c r="F51" s="157">
        <v>56.0</v>
      </c>
      <c r="G51" s="157" t="s">
        <v>132</v>
      </c>
      <c r="H51" s="15"/>
      <c r="P51" s="31" t="s">
        <v>325</v>
      </c>
    </row>
    <row r="52">
      <c r="A52" s="160"/>
      <c r="B52" s="161"/>
      <c r="C52" s="157" t="s">
        <v>14</v>
      </c>
      <c r="D52" s="157">
        <v>30.0</v>
      </c>
      <c r="E52" s="162" t="s">
        <v>326</v>
      </c>
      <c r="F52" s="157">
        <v>55.0</v>
      </c>
      <c r="G52" s="157" t="s">
        <v>128</v>
      </c>
      <c r="H52" s="15"/>
      <c r="P52" s="31" t="s">
        <v>327</v>
      </c>
    </row>
    <row r="53">
      <c r="A53" s="160"/>
      <c r="B53" s="161"/>
      <c r="C53" s="157" t="s">
        <v>23</v>
      </c>
      <c r="D53" s="163">
        <v>46143.0</v>
      </c>
      <c r="E53" s="162" t="s">
        <v>328</v>
      </c>
      <c r="F53" s="157">
        <v>51.0</v>
      </c>
      <c r="G53" s="157" t="s">
        <v>107</v>
      </c>
      <c r="H53" s="15"/>
    </row>
    <row r="54">
      <c r="A54" s="155"/>
      <c r="B54" s="156"/>
      <c r="C54" s="157" t="s">
        <v>14</v>
      </c>
      <c r="D54" s="157">
        <v>30.0</v>
      </c>
      <c r="E54" s="159" t="s">
        <v>329</v>
      </c>
      <c r="F54" s="157">
        <v>44.0</v>
      </c>
      <c r="G54" s="157" t="s">
        <v>77</v>
      </c>
      <c r="H54" s="15"/>
    </row>
    <row r="55">
      <c r="A55" s="155"/>
      <c r="B55" s="156"/>
      <c r="C55" s="157" t="s">
        <v>23</v>
      </c>
      <c r="D55" s="157" t="s">
        <v>39</v>
      </c>
      <c r="E55" s="159" t="s">
        <v>330</v>
      </c>
      <c r="F55" s="157">
        <v>14.0</v>
      </c>
      <c r="G55" s="157" t="s">
        <v>38</v>
      </c>
      <c r="H55" s="15"/>
    </row>
    <row r="56">
      <c r="A56" s="155"/>
      <c r="B56" s="156"/>
      <c r="C56" s="157" t="s">
        <v>28</v>
      </c>
      <c r="D56" s="157" t="s">
        <v>32</v>
      </c>
      <c r="E56" s="159" t="s">
        <v>331</v>
      </c>
      <c r="F56" s="157">
        <v>11.0</v>
      </c>
      <c r="G56" s="157" t="s">
        <v>33</v>
      </c>
      <c r="H56" s="15"/>
    </row>
    <row r="57">
      <c r="A57" s="155"/>
      <c r="B57" s="156"/>
      <c r="C57" s="157" t="s">
        <v>23</v>
      </c>
      <c r="D57" s="157">
        <v>2.0</v>
      </c>
      <c r="E57" s="159" t="s">
        <v>332</v>
      </c>
      <c r="F57" s="157">
        <v>5.0</v>
      </c>
      <c r="G57" s="157" t="s">
        <v>22</v>
      </c>
      <c r="H57" s="15"/>
    </row>
    <row r="58">
      <c r="A58" s="164"/>
      <c r="B58" s="165"/>
      <c r="C58" s="166" t="s">
        <v>14</v>
      </c>
      <c r="D58" s="166">
        <v>50.0</v>
      </c>
      <c r="E58" s="167" t="s">
        <v>333</v>
      </c>
      <c r="F58" s="166">
        <v>18.0</v>
      </c>
      <c r="G58" s="166" t="s">
        <v>44</v>
      </c>
      <c r="H58" s="15"/>
    </row>
    <row r="60">
      <c r="A60" s="168" t="s">
        <v>334</v>
      </c>
    </row>
    <row r="61">
      <c r="A61" s="3" t="s">
        <v>0</v>
      </c>
      <c r="B61" s="3" t="s">
        <v>5</v>
      </c>
      <c r="C61" s="3" t="s">
        <v>6</v>
      </c>
      <c r="D61" s="3" t="s">
        <v>7</v>
      </c>
      <c r="E61" s="3" t="s">
        <v>10</v>
      </c>
      <c r="F61" s="3" t="s">
        <v>11</v>
      </c>
      <c r="I61" s="3" t="s">
        <v>335</v>
      </c>
    </row>
    <row r="62">
      <c r="A62" s="8"/>
      <c r="B62" s="11"/>
      <c r="C62" s="12" t="s">
        <v>28</v>
      </c>
      <c r="D62" s="12" t="s">
        <v>29</v>
      </c>
      <c r="E62" s="12">
        <v>9.0</v>
      </c>
      <c r="F62" s="12" t="s">
        <v>30</v>
      </c>
      <c r="G62" s="15"/>
      <c r="I62" s="169" t="s">
        <v>335</v>
      </c>
    </row>
    <row r="63">
      <c r="A63" s="145"/>
      <c r="B63" s="146"/>
      <c r="C63" s="147" t="s">
        <v>23</v>
      </c>
      <c r="D63" s="170">
        <v>46143.0</v>
      </c>
      <c r="E63" s="147">
        <v>38.0</v>
      </c>
      <c r="F63" s="147" t="s">
        <v>71</v>
      </c>
      <c r="G63" s="15"/>
      <c r="I63" s="3" t="s">
        <v>335</v>
      </c>
    </row>
    <row r="64">
      <c r="A64" s="16"/>
      <c r="B64" s="17"/>
      <c r="C64" s="18" t="s">
        <v>20</v>
      </c>
      <c r="D64" s="19">
        <v>0.5</v>
      </c>
      <c r="E64" s="18">
        <v>27.0</v>
      </c>
      <c r="F64" s="18" t="s">
        <v>55</v>
      </c>
      <c r="G64" s="15"/>
      <c r="I64" s="3" t="s">
        <v>335</v>
      </c>
      <c r="P64" s="171"/>
    </row>
    <row r="65">
      <c r="A65" s="155"/>
      <c r="B65" s="156"/>
      <c r="C65" s="157" t="s">
        <v>14</v>
      </c>
      <c r="D65" s="157">
        <v>25.0</v>
      </c>
      <c r="E65" s="157">
        <v>28.0</v>
      </c>
      <c r="F65" s="157" t="s">
        <v>56</v>
      </c>
      <c r="G65" s="15"/>
      <c r="I65" s="3" t="s">
        <v>335</v>
      </c>
      <c r="P65" s="171"/>
    </row>
    <row r="66">
      <c r="A66" s="164"/>
      <c r="B66" s="165"/>
      <c r="C66" s="166" t="s">
        <v>14</v>
      </c>
      <c r="D66" s="166">
        <v>25.0</v>
      </c>
      <c r="E66" s="166">
        <v>6.0</v>
      </c>
      <c r="F66" s="166" t="s">
        <v>24</v>
      </c>
      <c r="G66" s="15"/>
      <c r="P66" s="171"/>
    </row>
  </sheetData>
  <mergeCells count="1">
    <mergeCell ref="A60:G60"/>
  </mergeCells>
  <hyperlinks>
    <hyperlink r:id="rId1" ref="E2"/>
    <hyperlink r:id="rId2" ref="E3"/>
    <hyperlink r:id="rId3" ref="E4"/>
    <hyperlink r:id="rId4" ref="E5"/>
    <hyperlink r:id="rId5" ref="E6"/>
    <hyperlink r:id="rId6" ref="P6"/>
    <hyperlink r:id="rId7" ref="E7"/>
    <hyperlink r:id="rId8" ref="E8"/>
    <hyperlink r:id="rId9" ref="E9"/>
    <hyperlink r:id="rId10" ref="P9"/>
    <hyperlink r:id="rId11" ref="E10"/>
    <hyperlink r:id="rId12" ref="E11"/>
    <hyperlink r:id="rId13" ref="E12"/>
    <hyperlink r:id="rId14" ref="E13"/>
    <hyperlink r:id="rId15" ref="E14"/>
    <hyperlink r:id="rId16" ref="P14"/>
    <hyperlink r:id="rId17" ref="E15"/>
    <hyperlink r:id="rId18" ref="E16"/>
    <hyperlink r:id="rId19" ref="P16"/>
    <hyperlink r:id="rId20" ref="E17"/>
    <hyperlink r:id="rId21" ref="E18"/>
    <hyperlink r:id="rId22" ref="E19"/>
    <hyperlink r:id="rId23" ref="P19"/>
    <hyperlink r:id="rId24" ref="E20"/>
    <hyperlink r:id="rId25" ref="E21"/>
    <hyperlink r:id="rId26" ref="E22"/>
    <hyperlink r:id="rId27" ref="P22"/>
    <hyperlink r:id="rId28" ref="E23"/>
    <hyperlink r:id="rId29" ref="P23"/>
    <hyperlink r:id="rId30" ref="E24"/>
    <hyperlink r:id="rId31" ref="E25"/>
    <hyperlink r:id="rId32" ref="E26"/>
    <hyperlink r:id="rId33" ref="E27"/>
    <hyperlink r:id="rId34" ref="E28"/>
    <hyperlink r:id="rId35" ref="P28"/>
    <hyperlink r:id="rId36" ref="E29"/>
    <hyperlink r:id="rId37" ref="E30"/>
    <hyperlink r:id="rId38" ref="E31"/>
    <hyperlink r:id="rId39" ref="E32"/>
    <hyperlink r:id="rId40" ref="E33"/>
    <hyperlink r:id="rId41" ref="E34"/>
    <hyperlink r:id="rId42" ref="E35"/>
    <hyperlink r:id="rId43" ref="E36"/>
    <hyperlink r:id="rId44" ref="E37"/>
    <hyperlink r:id="rId45" ref="E38"/>
    <hyperlink r:id="rId46" ref="E39"/>
    <hyperlink r:id="rId47" ref="E40"/>
    <hyperlink r:id="rId48" ref="E41"/>
    <hyperlink r:id="rId49" ref="E42"/>
    <hyperlink r:id="rId50" ref="E43"/>
    <hyperlink r:id="rId51" ref="E44"/>
    <hyperlink r:id="rId52" ref="E45"/>
    <hyperlink r:id="rId53" ref="E46"/>
    <hyperlink r:id="rId54" ref="E47"/>
    <hyperlink r:id="rId55" ref="E48"/>
    <hyperlink r:id="rId56" ref="E49"/>
    <hyperlink r:id="rId57" ref="E50"/>
    <hyperlink r:id="rId58" ref="E51"/>
    <hyperlink r:id="rId59" ref="P51"/>
    <hyperlink r:id="rId60" ref="E52"/>
    <hyperlink r:id="rId61" ref="P52"/>
    <hyperlink r:id="rId62" ref="E53"/>
    <hyperlink r:id="rId63" ref="E54"/>
    <hyperlink r:id="rId64" ref="E55"/>
    <hyperlink r:id="rId65" ref="E56"/>
    <hyperlink r:id="rId66" ref="E57"/>
    <hyperlink r:id="rId67" ref="E58"/>
  </hyperlinks>
  <drawing r:id="rId6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94.88"/>
  </cols>
  <sheetData>
    <row r="1">
      <c r="H1" s="1">
        <v>1.0</v>
      </c>
      <c r="I1" s="1" t="s">
        <v>2</v>
      </c>
      <c r="J1" s="10" t="s">
        <v>3</v>
      </c>
      <c r="K1" s="1" t="s">
        <v>14</v>
      </c>
      <c r="L1" s="1">
        <v>15.0</v>
      </c>
    </row>
    <row r="2">
      <c r="H2" s="1">
        <v>2.0</v>
      </c>
      <c r="I2" s="1" t="s">
        <v>16</v>
      </c>
      <c r="J2" s="10" t="s">
        <v>17</v>
      </c>
      <c r="K2" s="1" t="s">
        <v>14</v>
      </c>
      <c r="L2" s="1">
        <v>15.0</v>
      </c>
    </row>
    <row r="3">
      <c r="H3" s="1">
        <v>3.0</v>
      </c>
      <c r="I3" s="1" t="s">
        <v>18</v>
      </c>
      <c r="J3" s="10" t="s">
        <v>26</v>
      </c>
      <c r="K3" s="1" t="s">
        <v>14</v>
      </c>
      <c r="L3" s="20">
        <v>25.0</v>
      </c>
    </row>
    <row r="4">
      <c r="H4" s="1">
        <v>4.0</v>
      </c>
      <c r="I4" s="1" t="s">
        <v>19</v>
      </c>
      <c r="J4" s="10" t="s">
        <v>47</v>
      </c>
      <c r="K4" s="1" t="s">
        <v>20</v>
      </c>
      <c r="L4" s="23">
        <v>0.25</v>
      </c>
    </row>
    <row r="5">
      <c r="H5" s="1">
        <v>5.0</v>
      </c>
      <c r="I5" s="1" t="s">
        <v>22</v>
      </c>
      <c r="J5" s="10" t="s">
        <v>58</v>
      </c>
      <c r="K5" s="1" t="s">
        <v>23</v>
      </c>
      <c r="L5" s="1" t="s">
        <v>63</v>
      </c>
    </row>
    <row r="6">
      <c r="H6" s="1">
        <v>6.0</v>
      </c>
      <c r="I6" s="1" t="s">
        <v>24</v>
      </c>
      <c r="J6" s="10" t="s">
        <v>68</v>
      </c>
      <c r="K6" s="1" t="s">
        <v>14</v>
      </c>
      <c r="L6" s="1">
        <v>25.0</v>
      </c>
    </row>
    <row r="7">
      <c r="H7" s="1">
        <v>7.0</v>
      </c>
      <c r="I7" s="1" t="s">
        <v>25</v>
      </c>
      <c r="J7" s="10" t="s">
        <v>78</v>
      </c>
      <c r="K7" s="1" t="s">
        <v>14</v>
      </c>
      <c r="L7" s="20">
        <v>50.0</v>
      </c>
    </row>
    <row r="8">
      <c r="H8" s="1">
        <v>8.0</v>
      </c>
      <c r="I8" s="1" t="s">
        <v>27</v>
      </c>
      <c r="J8" s="1" t="s">
        <v>85</v>
      </c>
      <c r="K8" s="1" t="s">
        <v>28</v>
      </c>
      <c r="L8" s="1" t="s">
        <v>29</v>
      </c>
    </row>
    <row r="9">
      <c r="H9" s="1">
        <v>9.0</v>
      </c>
      <c r="I9" s="1" t="s">
        <v>30</v>
      </c>
      <c r="J9" s="1" t="s">
        <v>87</v>
      </c>
      <c r="K9" s="1" t="s">
        <v>28</v>
      </c>
      <c r="L9" s="1" t="s">
        <v>29</v>
      </c>
    </row>
    <row r="10">
      <c r="H10" s="1">
        <v>10.0</v>
      </c>
      <c r="I10" s="1" t="s">
        <v>31</v>
      </c>
      <c r="J10" s="1" t="s">
        <v>88</v>
      </c>
      <c r="K10" s="1" t="s">
        <v>28</v>
      </c>
      <c r="L10" s="1" t="s">
        <v>32</v>
      </c>
    </row>
    <row r="11">
      <c r="H11" s="1">
        <v>11.0</v>
      </c>
      <c r="I11" s="1" t="s">
        <v>33</v>
      </c>
      <c r="J11" s="1" t="s">
        <v>89</v>
      </c>
      <c r="K11" s="1" t="s">
        <v>28</v>
      </c>
      <c r="L11" s="1" t="s">
        <v>32</v>
      </c>
      <c r="P11" s="3">
        <v>3.0</v>
      </c>
    </row>
    <row r="12">
      <c r="H12" s="1">
        <v>12.0</v>
      </c>
      <c r="I12" s="1" t="s">
        <v>34</v>
      </c>
      <c r="J12" s="10" t="s">
        <v>90</v>
      </c>
      <c r="K12" s="1" t="s">
        <v>28</v>
      </c>
      <c r="L12" s="1" t="s">
        <v>35</v>
      </c>
      <c r="P12" s="32"/>
      <c r="Q12" s="32"/>
      <c r="R12" s="22">
        <v>34.0</v>
      </c>
      <c r="S12" s="22" t="s">
        <v>64</v>
      </c>
      <c r="T12" s="22" t="s">
        <v>14</v>
      </c>
      <c r="U12" s="22">
        <v>80.0</v>
      </c>
      <c r="V12" s="35" t="s">
        <v>97</v>
      </c>
      <c r="W12" s="36"/>
      <c r="X12" s="3" t="s">
        <v>102</v>
      </c>
    </row>
    <row r="13">
      <c r="H13" s="1">
        <v>13.0</v>
      </c>
      <c r="I13" s="1" t="s">
        <v>103</v>
      </c>
      <c r="J13" s="10" t="s">
        <v>104</v>
      </c>
      <c r="K13" s="1" t="s">
        <v>28</v>
      </c>
      <c r="L13" s="20" t="s">
        <v>105</v>
      </c>
      <c r="P13" s="32"/>
      <c r="Q13" s="32"/>
      <c r="R13" s="22">
        <v>31.0</v>
      </c>
      <c r="S13" s="22" t="s">
        <v>60</v>
      </c>
      <c r="T13" s="22" t="s">
        <v>28</v>
      </c>
      <c r="U13" s="22" t="s">
        <v>37</v>
      </c>
      <c r="V13" s="35" t="s">
        <v>106</v>
      </c>
      <c r="W13" s="36"/>
      <c r="X13" s="3" t="s">
        <v>111</v>
      </c>
    </row>
    <row r="14">
      <c r="H14" s="1">
        <v>14.0</v>
      </c>
      <c r="I14" s="1" t="s">
        <v>36</v>
      </c>
      <c r="J14" s="10" t="s">
        <v>113</v>
      </c>
      <c r="K14" s="1" t="s">
        <v>28</v>
      </c>
      <c r="L14" s="20" t="s">
        <v>37</v>
      </c>
      <c r="P14" s="32"/>
      <c r="Q14" s="32"/>
      <c r="R14" s="22">
        <v>41.0</v>
      </c>
      <c r="S14" s="22" t="s">
        <v>74</v>
      </c>
      <c r="T14" s="22" t="s">
        <v>14</v>
      </c>
      <c r="U14" s="22">
        <v>80.0</v>
      </c>
      <c r="V14" s="35" t="s">
        <v>115</v>
      </c>
      <c r="W14" s="36"/>
      <c r="X14" s="3" t="s">
        <v>118</v>
      </c>
    </row>
    <row r="15">
      <c r="H15" s="1">
        <v>15.0</v>
      </c>
      <c r="I15" s="1" t="s">
        <v>38</v>
      </c>
      <c r="J15" s="10" t="s">
        <v>120</v>
      </c>
      <c r="K15" s="1" t="s">
        <v>23</v>
      </c>
      <c r="L15" s="20" t="s">
        <v>127</v>
      </c>
      <c r="P15" s="32"/>
      <c r="Q15" s="32"/>
      <c r="R15" s="22">
        <v>17.0</v>
      </c>
      <c r="S15" s="22" t="s">
        <v>43</v>
      </c>
      <c r="T15" s="22" t="s">
        <v>23</v>
      </c>
      <c r="U15" s="22" t="s">
        <v>39</v>
      </c>
      <c r="V15" s="35" t="s">
        <v>130</v>
      </c>
      <c r="W15" s="36"/>
      <c r="X15" s="3" t="s">
        <v>134</v>
      </c>
    </row>
    <row r="16">
      <c r="H16" s="1">
        <v>16.0</v>
      </c>
      <c r="I16" s="1" t="s">
        <v>40</v>
      </c>
      <c r="J16" s="1" t="s">
        <v>135</v>
      </c>
      <c r="K16" s="1" t="s">
        <v>20</v>
      </c>
      <c r="L16" s="13">
        <v>0.3</v>
      </c>
      <c r="P16" s="32"/>
      <c r="Q16" s="32"/>
      <c r="R16" s="22">
        <v>9.0</v>
      </c>
      <c r="S16" s="22" t="s">
        <v>30</v>
      </c>
      <c r="T16" s="22" t="s">
        <v>28</v>
      </c>
      <c r="U16" s="22" t="s">
        <v>29</v>
      </c>
      <c r="V16" s="35" t="s">
        <v>136</v>
      </c>
      <c r="W16" s="36"/>
      <c r="X16" s="3" t="s">
        <v>140</v>
      </c>
    </row>
    <row r="17">
      <c r="H17" s="1">
        <v>17.0</v>
      </c>
      <c r="I17" s="1" t="s">
        <v>42</v>
      </c>
      <c r="J17" s="10" t="s">
        <v>141</v>
      </c>
      <c r="K17" s="1" t="s">
        <v>14</v>
      </c>
      <c r="L17" s="20">
        <v>30.0</v>
      </c>
      <c r="P17" s="3">
        <v>3.0</v>
      </c>
    </row>
    <row r="18">
      <c r="H18" s="1">
        <v>18.0</v>
      </c>
      <c r="I18" s="1" t="s">
        <v>43</v>
      </c>
      <c r="J18" s="1" t="s">
        <v>147</v>
      </c>
      <c r="K18" s="1" t="s">
        <v>23</v>
      </c>
      <c r="L18" s="1" t="s">
        <v>39</v>
      </c>
      <c r="P18" s="3">
        <v>3.0</v>
      </c>
    </row>
    <row r="19">
      <c r="H19" s="1">
        <v>19.0</v>
      </c>
      <c r="I19" s="1" t="s">
        <v>44</v>
      </c>
      <c r="J19" s="1" t="s">
        <v>148</v>
      </c>
      <c r="K19" s="1" t="s">
        <v>14</v>
      </c>
      <c r="L19" s="1">
        <v>50.0</v>
      </c>
      <c r="R19" s="22">
        <v>46.0</v>
      </c>
      <c r="S19" s="22" t="s">
        <v>82</v>
      </c>
      <c r="T19" s="22" t="s">
        <v>14</v>
      </c>
      <c r="U19" s="22">
        <v>30.0</v>
      </c>
      <c r="V19" s="24" t="s">
        <v>153</v>
      </c>
      <c r="W19" s="36"/>
      <c r="X19" s="3" t="s">
        <v>156</v>
      </c>
    </row>
    <row r="20">
      <c r="H20" s="1">
        <v>20.0</v>
      </c>
      <c r="I20" s="1" t="s">
        <v>45</v>
      </c>
      <c r="J20" s="10" t="s">
        <v>157</v>
      </c>
      <c r="K20" s="1" t="s">
        <v>28</v>
      </c>
      <c r="L20" s="20" t="s">
        <v>35</v>
      </c>
      <c r="R20" s="22">
        <v>47.0</v>
      </c>
      <c r="S20" s="22" t="s">
        <v>80</v>
      </c>
      <c r="T20" s="22" t="s">
        <v>20</v>
      </c>
      <c r="U20" s="44">
        <v>0.35</v>
      </c>
      <c r="V20" s="24" t="s">
        <v>160</v>
      </c>
      <c r="W20" s="36"/>
      <c r="X20" s="49" t="s">
        <v>162</v>
      </c>
    </row>
    <row r="21">
      <c r="H21" s="1">
        <v>21.0</v>
      </c>
      <c r="I21" s="1" t="s">
        <v>46</v>
      </c>
      <c r="J21" s="1" t="s">
        <v>164</v>
      </c>
      <c r="K21" s="1" t="s">
        <v>28</v>
      </c>
      <c r="L21" s="1" t="s">
        <v>29</v>
      </c>
      <c r="R21" s="22">
        <v>48.0</v>
      </c>
      <c r="S21" s="22" t="s">
        <v>93</v>
      </c>
      <c r="T21" s="22" t="s">
        <v>14</v>
      </c>
      <c r="U21" s="22">
        <v>60.0</v>
      </c>
      <c r="V21" s="24" t="s">
        <v>166</v>
      </c>
      <c r="W21" s="36"/>
      <c r="X21" s="49" t="s">
        <v>169</v>
      </c>
    </row>
    <row r="22">
      <c r="H22" s="1">
        <v>22.0</v>
      </c>
      <c r="I22" s="1" t="s">
        <v>48</v>
      </c>
      <c r="J22" s="1" t="s">
        <v>171</v>
      </c>
      <c r="K22" s="1" t="s">
        <v>14</v>
      </c>
      <c r="L22" s="1">
        <v>30.0</v>
      </c>
      <c r="R22" s="22">
        <v>49.0</v>
      </c>
      <c r="S22" s="22" t="s">
        <v>65</v>
      </c>
      <c r="T22" s="22" t="s">
        <v>23</v>
      </c>
      <c r="U22" s="22" t="s">
        <v>39</v>
      </c>
      <c r="V22" s="24" t="s">
        <v>174</v>
      </c>
      <c r="W22" s="36"/>
      <c r="X22" s="49" t="s">
        <v>180</v>
      </c>
    </row>
    <row r="23">
      <c r="H23" s="1">
        <v>23.0</v>
      </c>
      <c r="I23" s="1" t="s">
        <v>49</v>
      </c>
      <c r="J23" s="1" t="s">
        <v>182</v>
      </c>
      <c r="K23" s="1" t="s">
        <v>14</v>
      </c>
      <c r="L23" s="20">
        <v>40.0</v>
      </c>
      <c r="R23" s="22">
        <v>50.0</v>
      </c>
      <c r="S23" s="22" t="s">
        <v>99</v>
      </c>
      <c r="T23" s="22" t="s">
        <v>23</v>
      </c>
      <c r="U23" s="22" t="s">
        <v>98</v>
      </c>
      <c r="V23" s="24" t="s">
        <v>184</v>
      </c>
      <c r="W23" s="36"/>
      <c r="X23" s="49" t="s">
        <v>187</v>
      </c>
    </row>
    <row r="24">
      <c r="H24" s="1">
        <v>24.0</v>
      </c>
      <c r="I24" s="1" t="s">
        <v>50</v>
      </c>
      <c r="J24" s="1" t="s">
        <v>189</v>
      </c>
      <c r="K24" s="1" t="s">
        <v>20</v>
      </c>
      <c r="L24" s="13">
        <v>0.3</v>
      </c>
      <c r="R24" s="22">
        <v>51.0</v>
      </c>
      <c r="S24" s="22" t="s">
        <v>107</v>
      </c>
      <c r="T24" s="22" t="s">
        <v>23</v>
      </c>
      <c r="U24" s="77">
        <v>46143.0</v>
      </c>
      <c r="V24" s="24" t="s">
        <v>194</v>
      </c>
      <c r="W24" s="36"/>
      <c r="X24" s="49" t="s">
        <v>198</v>
      </c>
    </row>
    <row r="25">
      <c r="H25" s="1">
        <v>25.0</v>
      </c>
      <c r="I25" s="1" t="s">
        <v>51</v>
      </c>
      <c r="J25" s="1" t="s">
        <v>199</v>
      </c>
      <c r="K25" s="1" t="s">
        <v>14</v>
      </c>
      <c r="L25" s="20">
        <v>30.0</v>
      </c>
      <c r="R25" s="22">
        <v>52.0</v>
      </c>
      <c r="S25" s="22" t="s">
        <v>112</v>
      </c>
      <c r="T25" s="22" t="s">
        <v>14</v>
      </c>
      <c r="U25" s="22">
        <v>40.0</v>
      </c>
      <c r="V25" s="24" t="s">
        <v>200</v>
      </c>
      <c r="W25" s="36"/>
      <c r="X25" s="49" t="s">
        <v>204</v>
      </c>
    </row>
    <row r="26">
      <c r="H26" s="1">
        <v>26.0</v>
      </c>
      <c r="I26" s="1" t="s">
        <v>52</v>
      </c>
      <c r="J26" s="1" t="s">
        <v>206</v>
      </c>
      <c r="K26" s="1" t="s">
        <v>14</v>
      </c>
      <c r="L26" s="20">
        <v>40.0</v>
      </c>
      <c r="R26" s="22">
        <v>53.0</v>
      </c>
      <c r="S26" s="22" t="s">
        <v>117</v>
      </c>
      <c r="T26" s="22" t="s">
        <v>20</v>
      </c>
      <c r="U26" s="44">
        <v>0.4</v>
      </c>
      <c r="V26" s="24" t="s">
        <v>207</v>
      </c>
      <c r="W26" s="36"/>
      <c r="X26" s="49" t="s">
        <v>212</v>
      </c>
    </row>
    <row r="27">
      <c r="H27" s="1">
        <v>27.0</v>
      </c>
      <c r="I27" s="1" t="s">
        <v>53</v>
      </c>
      <c r="J27" s="1" t="s">
        <v>213</v>
      </c>
      <c r="K27" s="1" t="s">
        <v>23</v>
      </c>
      <c r="L27" s="20" t="s">
        <v>127</v>
      </c>
      <c r="R27" s="22">
        <v>54.0</v>
      </c>
      <c r="S27" s="22" t="s">
        <v>121</v>
      </c>
      <c r="T27" s="22" t="s">
        <v>28</v>
      </c>
      <c r="U27" s="22" t="s">
        <v>122</v>
      </c>
      <c r="V27" s="24" t="s">
        <v>215</v>
      </c>
      <c r="W27" s="36"/>
      <c r="X27" s="49" t="s">
        <v>219</v>
      </c>
    </row>
    <row r="28">
      <c r="H28" s="1">
        <v>28.0</v>
      </c>
      <c r="I28" s="1" t="s">
        <v>55</v>
      </c>
      <c r="J28" s="1" t="s">
        <v>220</v>
      </c>
      <c r="K28" s="1" t="s">
        <v>20</v>
      </c>
      <c r="L28" s="23">
        <v>0.5</v>
      </c>
      <c r="R28" s="22">
        <v>55.0</v>
      </c>
      <c r="S28" s="22" t="s">
        <v>128</v>
      </c>
      <c r="T28" s="22" t="s">
        <v>14</v>
      </c>
      <c r="U28" s="22">
        <v>30.0</v>
      </c>
      <c r="V28" s="24" t="s">
        <v>221</v>
      </c>
      <c r="W28" s="36"/>
      <c r="X28" s="49" t="s">
        <v>227</v>
      </c>
    </row>
    <row r="29">
      <c r="H29" s="1">
        <v>29.0</v>
      </c>
      <c r="I29" s="1" t="s">
        <v>56</v>
      </c>
      <c r="J29" s="1" t="s">
        <v>229</v>
      </c>
      <c r="K29" s="1" t="s">
        <v>14</v>
      </c>
      <c r="L29" s="1">
        <v>25.0</v>
      </c>
      <c r="R29" s="22">
        <v>56.0</v>
      </c>
      <c r="S29" s="22" t="s">
        <v>132</v>
      </c>
      <c r="T29" s="22" t="s">
        <v>14</v>
      </c>
      <c r="U29" s="22">
        <v>20.0</v>
      </c>
      <c r="V29" s="24" t="s">
        <v>231</v>
      </c>
      <c r="W29" s="36"/>
      <c r="X29" s="49" t="s">
        <v>237</v>
      </c>
    </row>
    <row r="30">
      <c r="H30" s="1">
        <v>30.0</v>
      </c>
      <c r="I30" s="1" t="s">
        <v>57</v>
      </c>
      <c r="J30" s="1" t="s">
        <v>238</v>
      </c>
      <c r="K30" s="1" t="s">
        <v>20</v>
      </c>
      <c r="L30" s="13">
        <v>0.5</v>
      </c>
      <c r="P30" s="3" t="s">
        <v>239</v>
      </c>
      <c r="Q30" s="3"/>
      <c r="R30" s="22">
        <v>57.0</v>
      </c>
      <c r="S30" s="22" t="s">
        <v>138</v>
      </c>
      <c r="T30" s="22" t="s">
        <v>14</v>
      </c>
      <c r="U30" s="22">
        <v>80.0</v>
      </c>
      <c r="V30" s="24" t="s">
        <v>241</v>
      </c>
      <c r="X30" s="3" t="s">
        <v>245</v>
      </c>
    </row>
    <row r="31">
      <c r="H31" s="1">
        <v>31.0</v>
      </c>
      <c r="I31" s="1" t="s">
        <v>59</v>
      </c>
      <c r="J31" s="10" t="s">
        <v>247</v>
      </c>
      <c r="K31" s="1" t="s">
        <v>20</v>
      </c>
      <c r="L31" s="23">
        <v>0.25</v>
      </c>
      <c r="R31" s="22">
        <v>58.0</v>
      </c>
      <c r="S31" s="22" t="s">
        <v>109</v>
      </c>
      <c r="T31" s="22" t="s">
        <v>23</v>
      </c>
      <c r="U31" s="22" t="s">
        <v>98</v>
      </c>
      <c r="V31" s="24" t="s">
        <v>263</v>
      </c>
      <c r="X31" s="3" t="s">
        <v>268</v>
      </c>
    </row>
    <row r="32">
      <c r="H32" s="1">
        <v>32.0</v>
      </c>
      <c r="I32" s="1" t="s">
        <v>60</v>
      </c>
      <c r="J32" s="1" t="s">
        <v>270</v>
      </c>
      <c r="K32" s="1" t="s">
        <v>28</v>
      </c>
      <c r="L32" s="20" t="s">
        <v>37</v>
      </c>
      <c r="P32" s="3" t="s">
        <v>273</v>
      </c>
      <c r="R32" s="22">
        <v>59.0</v>
      </c>
      <c r="S32" s="22" t="s">
        <v>144</v>
      </c>
      <c r="T32" s="22" t="s">
        <v>23</v>
      </c>
      <c r="U32" s="22" t="s">
        <v>39</v>
      </c>
      <c r="V32" s="24" t="s">
        <v>274</v>
      </c>
      <c r="X32" s="3" t="s">
        <v>279</v>
      </c>
    </row>
    <row r="33">
      <c r="H33" s="1">
        <v>33.0</v>
      </c>
      <c r="I33" s="1" t="s">
        <v>61</v>
      </c>
      <c r="J33" s="1" t="s">
        <v>280</v>
      </c>
      <c r="K33" s="1" t="s">
        <v>14</v>
      </c>
      <c r="L33" s="1">
        <v>25.0</v>
      </c>
      <c r="R33" s="22">
        <v>60.0</v>
      </c>
      <c r="S33" s="22" t="s">
        <v>149</v>
      </c>
      <c r="T33" s="22" t="s">
        <v>20</v>
      </c>
      <c r="U33" s="44">
        <v>0.4</v>
      </c>
      <c r="V33" s="24" t="s">
        <v>281</v>
      </c>
      <c r="X33" s="3" t="s">
        <v>283</v>
      </c>
    </row>
    <row r="34">
      <c r="H34" s="1">
        <v>34.0</v>
      </c>
      <c r="I34" s="1" t="s">
        <v>62</v>
      </c>
      <c r="J34" s="1" t="s">
        <v>284</v>
      </c>
      <c r="K34" s="1" t="s">
        <v>23</v>
      </c>
      <c r="L34" s="1" t="s">
        <v>63</v>
      </c>
      <c r="R34" s="22">
        <v>61.0</v>
      </c>
      <c r="S34" s="22" t="s">
        <v>152</v>
      </c>
      <c r="T34" s="22" t="s">
        <v>14</v>
      </c>
      <c r="U34" s="22">
        <v>50.0</v>
      </c>
      <c r="V34" s="24" t="s">
        <v>285</v>
      </c>
      <c r="X34" s="3" t="s">
        <v>286</v>
      </c>
    </row>
    <row r="35">
      <c r="H35" s="1">
        <v>35.0</v>
      </c>
      <c r="I35" s="1" t="s">
        <v>64</v>
      </c>
      <c r="J35" s="1" t="s">
        <v>287</v>
      </c>
      <c r="K35" s="1" t="s">
        <v>14</v>
      </c>
      <c r="L35" s="20">
        <v>75.0</v>
      </c>
      <c r="R35" s="22">
        <v>62.0</v>
      </c>
      <c r="S35" s="22" t="s">
        <v>84</v>
      </c>
      <c r="T35" s="22" t="s">
        <v>14</v>
      </c>
      <c r="U35" s="22">
        <v>60.0</v>
      </c>
      <c r="V35" s="24" t="s">
        <v>288</v>
      </c>
      <c r="X35" s="3" t="s">
        <v>290</v>
      </c>
    </row>
    <row r="36">
      <c r="H36" s="1">
        <v>36.0</v>
      </c>
      <c r="I36" s="1" t="s">
        <v>66</v>
      </c>
      <c r="J36" s="1" t="s">
        <v>291</v>
      </c>
      <c r="K36" s="1" t="s">
        <v>28</v>
      </c>
      <c r="L36" s="1" t="s">
        <v>29</v>
      </c>
    </row>
    <row r="37">
      <c r="H37" s="1">
        <v>37.0</v>
      </c>
      <c r="I37" s="1" t="s">
        <v>67</v>
      </c>
      <c r="J37" s="10" t="s">
        <v>292</v>
      </c>
      <c r="K37" s="1" t="s">
        <v>23</v>
      </c>
      <c r="L37" s="27">
        <v>46143.0</v>
      </c>
    </row>
    <row r="38">
      <c r="H38" s="1">
        <v>38.0</v>
      </c>
      <c r="I38" s="1" t="s">
        <v>70</v>
      </c>
      <c r="J38" s="1" t="s">
        <v>295</v>
      </c>
      <c r="K38" s="1" t="s">
        <v>14</v>
      </c>
      <c r="L38" s="1">
        <v>30.0</v>
      </c>
    </row>
    <row r="39">
      <c r="H39" s="1">
        <v>39.0</v>
      </c>
      <c r="I39" s="1" t="s">
        <v>71</v>
      </c>
      <c r="J39" s="1" t="s">
        <v>296</v>
      </c>
      <c r="K39" s="1" t="s">
        <v>23</v>
      </c>
      <c r="L39" s="27">
        <v>46143.0</v>
      </c>
    </row>
    <row r="40">
      <c r="H40" s="1">
        <v>40.0</v>
      </c>
      <c r="I40" s="1" t="s">
        <v>72</v>
      </c>
      <c r="J40" s="1" t="s">
        <v>297</v>
      </c>
      <c r="K40" s="1" t="s">
        <v>20</v>
      </c>
      <c r="L40" s="13">
        <v>0.5</v>
      </c>
    </row>
    <row r="41">
      <c r="H41" s="1">
        <v>41.0</v>
      </c>
      <c r="I41" s="1" t="s">
        <v>73</v>
      </c>
      <c r="J41" s="1" t="s">
        <v>298</v>
      </c>
      <c r="K41" s="1" t="s">
        <v>14</v>
      </c>
      <c r="L41" s="20">
        <v>75.0</v>
      </c>
    </row>
    <row r="42">
      <c r="H42" s="1">
        <v>42.0</v>
      </c>
      <c r="I42" s="1" t="s">
        <v>74</v>
      </c>
      <c r="J42" s="1" t="s">
        <v>299</v>
      </c>
      <c r="K42" s="1" t="s">
        <v>14</v>
      </c>
      <c r="L42" s="20">
        <v>75.0</v>
      </c>
    </row>
    <row r="43">
      <c r="H43" s="1">
        <v>43.0</v>
      </c>
      <c r="I43" s="1" t="s">
        <v>75</v>
      </c>
      <c r="J43" s="1" t="s">
        <v>301</v>
      </c>
      <c r="K43" s="1" t="s">
        <v>14</v>
      </c>
      <c r="L43" s="1">
        <v>30.0</v>
      </c>
    </row>
    <row r="44">
      <c r="H44" s="1">
        <v>44.0</v>
      </c>
      <c r="I44" s="1" t="s">
        <v>76</v>
      </c>
      <c r="J44" s="1" t="s">
        <v>302</v>
      </c>
      <c r="K44" s="1" t="s">
        <v>23</v>
      </c>
      <c r="L44" s="20" t="s">
        <v>39</v>
      </c>
    </row>
    <row r="45">
      <c r="H45" s="1">
        <v>45.0</v>
      </c>
      <c r="I45" s="1" t="s">
        <v>77</v>
      </c>
      <c r="J45" s="1" t="s">
        <v>303</v>
      </c>
      <c r="K45" s="1" t="s">
        <v>14</v>
      </c>
      <c r="L45" s="1">
        <v>30.0</v>
      </c>
    </row>
    <row r="46">
      <c r="H46" s="1">
        <v>46.0</v>
      </c>
      <c r="I46" s="1" t="s">
        <v>79</v>
      </c>
      <c r="J46" s="1" t="s">
        <v>304</v>
      </c>
      <c r="K46" s="1" t="s">
        <v>28</v>
      </c>
      <c r="L46" s="20" t="s">
        <v>305</v>
      </c>
    </row>
    <row r="47">
      <c r="H47" s="1" t="s">
        <v>1</v>
      </c>
      <c r="I47" s="1" t="s">
        <v>13</v>
      </c>
      <c r="J47" s="1" t="s">
        <v>306</v>
      </c>
      <c r="K47" s="1" t="s">
        <v>6</v>
      </c>
      <c r="L47" s="1" t="s">
        <v>15</v>
      </c>
    </row>
  </sheetData>
  <hyperlinks>
    <hyperlink r:id="rId1" ref="J1"/>
    <hyperlink r:id="rId2" ref="J2"/>
    <hyperlink r:id="rId3" ref="J3"/>
    <hyperlink r:id="rId4" ref="J4"/>
    <hyperlink r:id="rId5" ref="J5"/>
    <hyperlink r:id="rId6" ref="J6"/>
    <hyperlink r:id="rId7" ref="J7"/>
    <hyperlink r:id="rId8" ref="J12"/>
    <hyperlink r:id="rId9" ref="V12"/>
    <hyperlink r:id="rId10" ref="J13"/>
    <hyperlink r:id="rId11" ref="V13"/>
    <hyperlink r:id="rId12" ref="J14"/>
    <hyperlink r:id="rId13" ref="V14"/>
    <hyperlink r:id="rId14" ref="J15"/>
    <hyperlink r:id="rId15" ref="V15"/>
    <hyperlink r:id="rId16" ref="V16"/>
    <hyperlink r:id="rId17" ref="J17"/>
    <hyperlink r:id="rId18" ref="V19"/>
    <hyperlink r:id="rId19" ref="J20"/>
    <hyperlink r:id="rId20" ref="V20"/>
    <hyperlink r:id="rId21" ref="V21"/>
    <hyperlink r:id="rId22" ref="V22"/>
    <hyperlink r:id="rId23" ref="V23"/>
    <hyperlink r:id="rId24" ref="V24"/>
    <hyperlink r:id="rId25" ref="V25"/>
    <hyperlink r:id="rId26" ref="V26"/>
    <hyperlink r:id="rId27" ref="V27"/>
    <hyperlink r:id="rId28" ref="V28"/>
    <hyperlink r:id="rId29" ref="V29"/>
    <hyperlink r:id="rId30" ref="V30"/>
    <hyperlink r:id="rId31" ref="J31"/>
    <hyperlink r:id="rId32" ref="V31"/>
    <hyperlink r:id="rId33" ref="V32"/>
    <hyperlink r:id="rId34" ref="V33"/>
    <hyperlink r:id="rId35" ref="V34"/>
    <hyperlink r:id="rId36" ref="V35"/>
    <hyperlink r:id="rId37" ref="J37"/>
  </hyperlinks>
  <drawing r:id="rId38"/>
</worksheet>
</file>